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AYROLL\2026 PAYROLL\DTR 2026\"/>
    </mc:Choice>
  </mc:AlternateContent>
  <xr:revisionPtr revIDLastSave="0" documentId="13_ncr:1_{DADF01B7-4829-42E4-8A9D-08DADC9FEE25}" xr6:coauthVersionLast="47" xr6:coauthVersionMax="47" xr10:uidLastSave="{00000000-0000-0000-0000-000000000000}"/>
  <bookViews>
    <workbookView xWindow="990" yWindow="-120" windowWidth="19620" windowHeight="11760" firstSheet="42" activeTab="48" xr2:uid="{EC18B23F-0337-49CC-AF12-FAE2562DB84A}"/>
  </bookViews>
  <sheets>
    <sheet name="BERNALES" sheetId="1" r:id="rId1"/>
    <sheet name="CARDILLO" sheetId="3" r:id="rId2"/>
    <sheet name="VELASQUEZ" sheetId="4" r:id="rId3"/>
    <sheet name="ABISTADO" sheetId="5" r:id="rId4"/>
    <sheet name="ABLING" sheetId="49" r:id="rId5"/>
    <sheet name="AGON" sheetId="6" r:id="rId6"/>
    <sheet name="AGUHO" sheetId="60" r:id="rId7"/>
    <sheet name="BALMES" sheetId="52" r:id="rId8"/>
    <sheet name="BARQUILLA" sheetId="8" r:id="rId9"/>
    <sheet name="BAUTISTA A." sheetId="55" r:id="rId10"/>
    <sheet name="BAUTISTA" sheetId="9" r:id="rId11"/>
    <sheet name="BELEN" sheetId="10" r:id="rId12"/>
    <sheet name="BERON" sheetId="11" r:id="rId13"/>
    <sheet name="BLANCO" sheetId="12" r:id="rId14"/>
    <sheet name="CABANDOG" sheetId="13" r:id="rId15"/>
    <sheet name="CALANSANAN" sheetId="14" r:id="rId16"/>
    <sheet name="CALINGASAN" sheetId="15" r:id="rId17"/>
    <sheet name="CASTILLO" sheetId="67" r:id="rId18"/>
    <sheet name="CHAVEZ IRESE" sheetId="58" r:id="rId19"/>
    <sheet name="CHAVEZ JOVIN" sheetId="59" r:id="rId20"/>
    <sheet name="DALAN" sheetId="61" r:id="rId21"/>
    <sheet name="DAVID" sheetId="17" r:id="rId22"/>
    <sheet name="DECILLO" sheetId="54" r:id="rId23"/>
    <sheet name="DE ROXAS" sheetId="18" r:id="rId24"/>
    <sheet name="DELAPUS" sheetId="19" r:id="rId25"/>
    <sheet name="DELICA" sheetId="53" r:id="rId26"/>
    <sheet name="ENTRADA" sheetId="25" r:id="rId27"/>
    <sheet name="ESCAREZ" sheetId="27" r:id="rId28"/>
    <sheet name="GARDOCE" sheetId="28" r:id="rId29"/>
    <sheet name="GASCO" sheetId="65" r:id="rId30"/>
    <sheet name="GIAGONNE" sheetId="50" r:id="rId31"/>
    <sheet name="GONZALES" sheetId="51" r:id="rId32"/>
    <sheet name="HORCA" sheetId="29" r:id="rId33"/>
    <sheet name=" MALIBAGO" sheetId="62" r:id="rId34"/>
    <sheet name="MEDRANO" sheetId="66" r:id="rId35"/>
    <sheet name="MENDOZA" sheetId="33" r:id="rId36"/>
    <sheet name="MERCADO" sheetId="34" r:id="rId37"/>
    <sheet name="MINA" sheetId="35" r:id="rId38"/>
    <sheet name="ORAYA" sheetId="64" r:id="rId39"/>
    <sheet name="OZEATA" sheetId="36" r:id="rId40"/>
    <sheet name="PARABOLES" sheetId="37" r:id="rId41"/>
    <sheet name="RAMIREZ" sheetId="38" r:id="rId42"/>
    <sheet name="RAMOS" sheetId="39" r:id="rId43"/>
    <sheet name="SACDALAN" sheetId="56" r:id="rId44"/>
    <sheet name="SANCHEZ" sheetId="42" r:id="rId45"/>
    <sheet name="TORILLAS" sheetId="45" r:id="rId46"/>
    <sheet name="VICENTE" sheetId="46" r:id="rId47"/>
    <sheet name="VILLEZA" sheetId="47" r:id="rId48"/>
    <sheet name="AURE" sheetId="68" r:id="rId4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68" l="1"/>
  <c r="I15" i="68"/>
  <c r="F15" i="68"/>
  <c r="I9" i="68"/>
  <c r="I8" i="68"/>
  <c r="F9" i="68"/>
  <c r="F8" i="68"/>
  <c r="I16" i="68"/>
  <c r="I14" i="68"/>
  <c r="F14" i="68"/>
  <c r="I13" i="68"/>
  <c r="F13" i="68"/>
  <c r="I12" i="68"/>
  <c r="F12" i="68"/>
  <c r="I11" i="68"/>
  <c r="F11" i="68"/>
  <c r="I7" i="68"/>
  <c r="F7" i="68"/>
  <c r="I6" i="68"/>
  <c r="F6" i="68"/>
  <c r="I5" i="68"/>
  <c r="F5" i="68"/>
  <c r="L7" i="58"/>
  <c r="L9" i="59"/>
  <c r="L9" i="28"/>
  <c r="L9" i="12"/>
  <c r="L7" i="10"/>
  <c r="L7" i="60"/>
  <c r="L7" i="4"/>
  <c r="I13" i="47" l="1"/>
  <c r="F13" i="47"/>
  <c r="I12" i="47"/>
  <c r="F12" i="47"/>
  <c r="I11" i="47"/>
  <c r="F11" i="47"/>
  <c r="I10" i="47"/>
  <c r="F10" i="47"/>
  <c r="I9" i="47"/>
  <c r="F9" i="47"/>
  <c r="I6" i="47"/>
  <c r="F6" i="47"/>
  <c r="I5" i="47"/>
  <c r="F5" i="47"/>
  <c r="I4" i="47"/>
  <c r="F4" i="47"/>
  <c r="I3" i="47"/>
  <c r="F3" i="47"/>
  <c r="I13" i="46"/>
  <c r="F13" i="46"/>
  <c r="I12" i="46"/>
  <c r="F12" i="46"/>
  <c r="I11" i="46"/>
  <c r="F11" i="46"/>
  <c r="I10" i="46"/>
  <c r="F10" i="46"/>
  <c r="I9" i="46"/>
  <c r="F9" i="46"/>
  <c r="I6" i="46"/>
  <c r="F6" i="46"/>
  <c r="I5" i="46"/>
  <c r="F5" i="46"/>
  <c r="I4" i="46"/>
  <c r="F4" i="46"/>
  <c r="I3" i="46"/>
  <c r="F3" i="46"/>
  <c r="I13" i="45"/>
  <c r="F13" i="45"/>
  <c r="I12" i="45"/>
  <c r="F12" i="45"/>
  <c r="I11" i="45"/>
  <c r="F11" i="45"/>
  <c r="I10" i="45"/>
  <c r="F10" i="45"/>
  <c r="I9" i="45"/>
  <c r="F9" i="45"/>
  <c r="I6" i="45"/>
  <c r="F6" i="45"/>
  <c r="I5" i="45"/>
  <c r="F5" i="45"/>
  <c r="I4" i="45"/>
  <c r="F4" i="45"/>
  <c r="I3" i="45"/>
  <c r="F3" i="45"/>
  <c r="I13" i="42"/>
  <c r="F13" i="42"/>
  <c r="I12" i="42"/>
  <c r="F12" i="42"/>
  <c r="I10" i="42"/>
  <c r="F10" i="42"/>
  <c r="I9" i="42"/>
  <c r="F9" i="42"/>
  <c r="I6" i="42"/>
  <c r="F6" i="42"/>
  <c r="I5" i="42"/>
  <c r="F5" i="42"/>
  <c r="I4" i="42"/>
  <c r="F4" i="42"/>
  <c r="I3" i="42"/>
  <c r="F3" i="42"/>
  <c r="I10" i="56"/>
  <c r="F10" i="56"/>
  <c r="I9" i="56"/>
  <c r="I6" i="56"/>
  <c r="F6" i="56"/>
  <c r="I5" i="56"/>
  <c r="F5" i="56"/>
  <c r="I4" i="56"/>
  <c r="F4" i="56"/>
  <c r="I3" i="56"/>
  <c r="F3" i="56"/>
  <c r="I13" i="39"/>
  <c r="F13" i="39"/>
  <c r="I12" i="39"/>
  <c r="F12" i="39"/>
  <c r="I11" i="39"/>
  <c r="F11" i="39"/>
  <c r="I10" i="39"/>
  <c r="F10" i="39"/>
  <c r="I9" i="39"/>
  <c r="F9" i="39"/>
  <c r="I6" i="39"/>
  <c r="F6" i="39"/>
  <c r="I5" i="39"/>
  <c r="F5" i="39"/>
  <c r="I4" i="39"/>
  <c r="I3" i="39"/>
  <c r="F3" i="39"/>
  <c r="I13" i="38"/>
  <c r="F13" i="38"/>
  <c r="F12" i="38"/>
  <c r="I11" i="38"/>
  <c r="F11" i="38"/>
  <c r="I10" i="38"/>
  <c r="F10" i="38"/>
  <c r="I9" i="38"/>
  <c r="F9" i="38"/>
  <c r="I6" i="38"/>
  <c r="F6" i="38"/>
  <c r="I5" i="38"/>
  <c r="F5" i="38"/>
  <c r="I4" i="38"/>
  <c r="F4" i="38"/>
  <c r="I3" i="38"/>
  <c r="F3" i="38"/>
  <c r="I13" i="37"/>
  <c r="F13" i="37"/>
  <c r="I12" i="37"/>
  <c r="F12" i="37"/>
  <c r="I11" i="37"/>
  <c r="F11" i="37"/>
  <c r="I10" i="37"/>
  <c r="F10" i="37"/>
  <c r="I9" i="37"/>
  <c r="F9" i="37"/>
  <c r="I6" i="37"/>
  <c r="F6" i="37"/>
  <c r="I5" i="37"/>
  <c r="F5" i="37"/>
  <c r="I4" i="37"/>
  <c r="F4" i="37"/>
  <c r="I3" i="37"/>
  <c r="F3" i="37"/>
  <c r="I13" i="36"/>
  <c r="F13" i="36"/>
  <c r="I12" i="36"/>
  <c r="F12" i="36"/>
  <c r="I11" i="36"/>
  <c r="F11" i="36"/>
  <c r="I10" i="36"/>
  <c r="F10" i="36"/>
  <c r="I9" i="36"/>
  <c r="F9" i="36"/>
  <c r="I6" i="36"/>
  <c r="F6" i="36"/>
  <c r="I5" i="36"/>
  <c r="F5" i="36"/>
  <c r="I4" i="36"/>
  <c r="F4" i="36"/>
  <c r="I3" i="36"/>
  <c r="F3" i="36"/>
  <c r="F11" i="64"/>
  <c r="I10" i="64"/>
  <c r="F10" i="64"/>
  <c r="I9" i="64"/>
  <c r="F9" i="64"/>
  <c r="I6" i="64"/>
  <c r="F6" i="64"/>
  <c r="I5" i="64"/>
  <c r="F5" i="64"/>
  <c r="I4" i="64"/>
  <c r="F4" i="64"/>
  <c r="I3" i="64"/>
  <c r="F3" i="64"/>
  <c r="I10" i="35"/>
  <c r="F10" i="35"/>
  <c r="I9" i="35"/>
  <c r="F9" i="35"/>
  <c r="I6" i="35"/>
  <c r="F6" i="35"/>
  <c r="I5" i="35"/>
  <c r="F5" i="35"/>
  <c r="I4" i="35"/>
  <c r="F4" i="35"/>
  <c r="I3" i="35"/>
  <c r="F3" i="35"/>
  <c r="I13" i="34"/>
  <c r="F13" i="34"/>
  <c r="I12" i="34"/>
  <c r="F12" i="34"/>
  <c r="I11" i="34"/>
  <c r="F11" i="34"/>
  <c r="I10" i="34"/>
  <c r="I9" i="34"/>
  <c r="F9" i="34"/>
  <c r="I6" i="34"/>
  <c r="I5" i="34"/>
  <c r="F5" i="34"/>
  <c r="I4" i="34"/>
  <c r="F4" i="34"/>
  <c r="I3" i="34"/>
  <c r="F3" i="34"/>
  <c r="I13" i="33"/>
  <c r="F13" i="33"/>
  <c r="I12" i="33"/>
  <c r="F12" i="33"/>
  <c r="I11" i="33"/>
  <c r="F11" i="33"/>
  <c r="I10" i="33"/>
  <c r="F10" i="33"/>
  <c r="I9" i="33"/>
  <c r="F9" i="33"/>
  <c r="I6" i="33"/>
  <c r="F6" i="33"/>
  <c r="I5" i="33"/>
  <c r="F5" i="33"/>
  <c r="I4" i="33"/>
  <c r="F4" i="33"/>
  <c r="I3" i="33"/>
  <c r="F3" i="33"/>
  <c r="I13" i="66"/>
  <c r="F13" i="66"/>
  <c r="I12" i="66"/>
  <c r="F12" i="66"/>
  <c r="I11" i="66"/>
  <c r="F11" i="66"/>
  <c r="I10" i="66"/>
  <c r="F10" i="66"/>
  <c r="I9" i="66"/>
  <c r="F9" i="66"/>
  <c r="I6" i="66"/>
  <c r="F6" i="66"/>
  <c r="I5" i="66"/>
  <c r="F5" i="66"/>
  <c r="I4" i="66"/>
  <c r="F4" i="66"/>
  <c r="I3" i="66"/>
  <c r="F3" i="66"/>
  <c r="I13" i="62"/>
  <c r="F13" i="62"/>
  <c r="I12" i="62"/>
  <c r="F12" i="62"/>
  <c r="I11" i="62"/>
  <c r="F11" i="62"/>
  <c r="I10" i="62"/>
  <c r="F10" i="62"/>
  <c r="I9" i="62"/>
  <c r="F9" i="62"/>
  <c r="I6" i="62"/>
  <c r="F6" i="62"/>
  <c r="I5" i="62"/>
  <c r="F5" i="62"/>
  <c r="I4" i="62"/>
  <c r="F4" i="62"/>
  <c r="I3" i="62"/>
  <c r="F3" i="62"/>
  <c r="I13" i="29"/>
  <c r="F13" i="29"/>
  <c r="I12" i="29"/>
  <c r="F12" i="29"/>
  <c r="I11" i="29"/>
  <c r="F11" i="29"/>
  <c r="I10" i="29"/>
  <c r="F10" i="29"/>
  <c r="I9" i="29"/>
  <c r="F9" i="29"/>
  <c r="I6" i="29"/>
  <c r="F6" i="29"/>
  <c r="I5" i="29"/>
  <c r="F5" i="29"/>
  <c r="I4" i="29"/>
  <c r="F4" i="29"/>
  <c r="I3" i="29"/>
  <c r="F3" i="29"/>
  <c r="I13" i="51"/>
  <c r="F13" i="51"/>
  <c r="I12" i="51"/>
  <c r="F12" i="51"/>
  <c r="I11" i="51"/>
  <c r="F11" i="51"/>
  <c r="I10" i="51"/>
  <c r="F10" i="51"/>
  <c r="I9" i="51"/>
  <c r="F9" i="51"/>
  <c r="I6" i="51"/>
  <c r="F6" i="51"/>
  <c r="I5" i="51"/>
  <c r="F5" i="51"/>
  <c r="I4" i="51"/>
  <c r="F4" i="51"/>
  <c r="I3" i="51"/>
  <c r="F3" i="51"/>
  <c r="I13" i="50"/>
  <c r="F13" i="50"/>
  <c r="I12" i="50"/>
  <c r="F12" i="50"/>
  <c r="I11" i="50"/>
  <c r="F11" i="50"/>
  <c r="I10" i="50"/>
  <c r="F10" i="50"/>
  <c r="I9" i="50"/>
  <c r="F9" i="50"/>
  <c r="I6" i="50"/>
  <c r="F6" i="50"/>
  <c r="I5" i="50"/>
  <c r="F5" i="50"/>
  <c r="I4" i="50"/>
  <c r="F4" i="50"/>
  <c r="I3" i="50"/>
  <c r="F3" i="50"/>
  <c r="I13" i="65"/>
  <c r="F13" i="65"/>
  <c r="I12" i="65"/>
  <c r="F12" i="65"/>
  <c r="I11" i="65"/>
  <c r="F11" i="65"/>
  <c r="I10" i="65"/>
  <c r="F10" i="65"/>
  <c r="I9" i="65"/>
  <c r="F9" i="65"/>
  <c r="I6" i="65"/>
  <c r="F6" i="65"/>
  <c r="I5" i="65"/>
  <c r="F5" i="65"/>
  <c r="I4" i="65"/>
  <c r="F4" i="65"/>
  <c r="I3" i="65"/>
  <c r="F3" i="65"/>
  <c r="I13" i="28"/>
  <c r="F13" i="28"/>
  <c r="I12" i="28"/>
  <c r="F12" i="28"/>
  <c r="I11" i="28"/>
  <c r="F11" i="28"/>
  <c r="I10" i="28"/>
  <c r="F10" i="28"/>
  <c r="I9" i="28"/>
  <c r="F9" i="28"/>
  <c r="I6" i="28"/>
  <c r="F6" i="28"/>
  <c r="I4" i="28"/>
  <c r="F4" i="28"/>
  <c r="I3" i="28"/>
  <c r="F3" i="28"/>
  <c r="I13" i="27"/>
  <c r="F13" i="27"/>
  <c r="I12" i="27"/>
  <c r="F12" i="27"/>
  <c r="I10" i="27"/>
  <c r="F10" i="27"/>
  <c r="I9" i="27"/>
  <c r="F9" i="27"/>
  <c r="I6" i="27"/>
  <c r="F6" i="27"/>
  <c r="I5" i="27"/>
  <c r="F5" i="27"/>
  <c r="I4" i="27"/>
  <c r="F4" i="27"/>
  <c r="I3" i="27"/>
  <c r="F3" i="27"/>
  <c r="I13" i="25"/>
  <c r="F13" i="25"/>
  <c r="I12" i="25"/>
  <c r="F12" i="25"/>
  <c r="I11" i="25"/>
  <c r="F11" i="25"/>
  <c r="I10" i="25"/>
  <c r="F10" i="25"/>
  <c r="I9" i="25"/>
  <c r="F9" i="25"/>
  <c r="I6" i="25"/>
  <c r="F6" i="25"/>
  <c r="I5" i="25"/>
  <c r="F5" i="25"/>
  <c r="I4" i="25"/>
  <c r="F4" i="25"/>
  <c r="I3" i="25"/>
  <c r="F3" i="25"/>
  <c r="I13" i="53"/>
  <c r="F13" i="53"/>
  <c r="I11" i="53"/>
  <c r="F11" i="53"/>
  <c r="I10" i="53"/>
  <c r="F10" i="53"/>
  <c r="I9" i="53"/>
  <c r="F9" i="53"/>
  <c r="I6" i="53"/>
  <c r="F6" i="53"/>
  <c r="I5" i="53"/>
  <c r="F5" i="53"/>
  <c r="I4" i="53"/>
  <c r="F4" i="53"/>
  <c r="I3" i="53"/>
  <c r="F3" i="53"/>
  <c r="I13" i="19"/>
  <c r="F13" i="19"/>
  <c r="I12" i="19"/>
  <c r="F12" i="19"/>
  <c r="I11" i="19"/>
  <c r="F11" i="19"/>
  <c r="I10" i="19"/>
  <c r="F10" i="19"/>
  <c r="I9" i="19"/>
  <c r="F9" i="19"/>
  <c r="I6" i="19"/>
  <c r="F6" i="19"/>
  <c r="I5" i="19"/>
  <c r="F5" i="19"/>
  <c r="I4" i="19"/>
  <c r="F4" i="19"/>
  <c r="I3" i="19"/>
  <c r="F3" i="19"/>
  <c r="I13" i="18"/>
  <c r="F13" i="18"/>
  <c r="I12" i="18"/>
  <c r="F12" i="18"/>
  <c r="I11" i="18"/>
  <c r="F11" i="18"/>
  <c r="I10" i="18"/>
  <c r="F10" i="18"/>
  <c r="I9" i="18"/>
  <c r="F9" i="18"/>
  <c r="I6" i="18"/>
  <c r="I5" i="18"/>
  <c r="F5" i="18"/>
  <c r="I4" i="18"/>
  <c r="F4" i="18"/>
  <c r="I3" i="18"/>
  <c r="F3" i="18"/>
  <c r="I13" i="54"/>
  <c r="F13" i="54"/>
  <c r="I12" i="54"/>
  <c r="F12" i="54"/>
  <c r="I11" i="54"/>
  <c r="F11" i="54"/>
  <c r="I10" i="54"/>
  <c r="F10" i="54"/>
  <c r="I9" i="54"/>
  <c r="F9" i="54"/>
  <c r="I6" i="54"/>
  <c r="F6" i="54"/>
  <c r="I5" i="54"/>
  <c r="F5" i="54"/>
  <c r="I4" i="54"/>
  <c r="F4" i="54"/>
  <c r="F11" i="17"/>
  <c r="I10" i="17"/>
  <c r="F10" i="17"/>
  <c r="I9" i="17"/>
  <c r="F9" i="17"/>
  <c r="I6" i="17"/>
  <c r="F6" i="17"/>
  <c r="I5" i="17"/>
  <c r="F5" i="17"/>
  <c r="I4" i="17"/>
  <c r="F4" i="17"/>
  <c r="I3" i="17"/>
  <c r="F3" i="17"/>
  <c r="I13" i="61"/>
  <c r="F13" i="61"/>
  <c r="I12" i="61"/>
  <c r="F12" i="61"/>
  <c r="I11" i="61"/>
  <c r="F11" i="61"/>
  <c r="I10" i="61"/>
  <c r="F10" i="61"/>
  <c r="I9" i="61"/>
  <c r="F9" i="61"/>
  <c r="I6" i="61"/>
  <c r="F6" i="61"/>
  <c r="I5" i="61"/>
  <c r="F5" i="61"/>
  <c r="I4" i="61"/>
  <c r="F4" i="61"/>
  <c r="I3" i="61"/>
  <c r="F3" i="61"/>
  <c r="I12" i="59"/>
  <c r="F12" i="59"/>
  <c r="I11" i="59"/>
  <c r="F11" i="59"/>
  <c r="I10" i="59"/>
  <c r="F10" i="59"/>
  <c r="I9" i="59"/>
  <c r="F9" i="59"/>
  <c r="I6" i="59"/>
  <c r="F6" i="59"/>
  <c r="I5" i="59"/>
  <c r="F5" i="59"/>
  <c r="I4" i="59"/>
  <c r="I3" i="59"/>
  <c r="F3" i="59"/>
  <c r="I13" i="58"/>
  <c r="F13" i="58"/>
  <c r="I12" i="58"/>
  <c r="F12" i="58"/>
  <c r="I11" i="58"/>
  <c r="F11" i="58"/>
  <c r="I10" i="58"/>
  <c r="F10" i="58"/>
  <c r="I9" i="58"/>
  <c r="F9" i="58"/>
  <c r="I6" i="58"/>
  <c r="F6" i="58"/>
  <c r="I5" i="58"/>
  <c r="F5" i="58"/>
  <c r="I4" i="58"/>
  <c r="F4" i="58"/>
  <c r="I3" i="58"/>
  <c r="F3" i="58"/>
  <c r="I13" i="67"/>
  <c r="F13" i="67"/>
  <c r="I12" i="67"/>
  <c r="F12" i="67"/>
  <c r="I11" i="67"/>
  <c r="F11" i="67"/>
  <c r="I10" i="67"/>
  <c r="F10" i="67"/>
  <c r="I9" i="67"/>
  <c r="F9" i="67"/>
  <c r="I6" i="67"/>
  <c r="F6" i="67"/>
  <c r="I5" i="67"/>
  <c r="F5" i="67"/>
  <c r="I4" i="67"/>
  <c r="F4" i="67"/>
  <c r="I3" i="67"/>
  <c r="F3" i="67"/>
  <c r="I13" i="15"/>
  <c r="F13" i="15"/>
  <c r="I12" i="15"/>
  <c r="F12" i="15"/>
  <c r="I11" i="15"/>
  <c r="F11" i="15"/>
  <c r="I10" i="15"/>
  <c r="F10" i="15"/>
  <c r="I9" i="15"/>
  <c r="F9" i="15"/>
  <c r="I6" i="15"/>
  <c r="F6" i="15"/>
  <c r="I5" i="15"/>
  <c r="F5" i="15"/>
  <c r="I4" i="15"/>
  <c r="F4" i="15"/>
  <c r="I3" i="15"/>
  <c r="F3" i="15"/>
  <c r="I13" i="14"/>
  <c r="F13" i="14"/>
  <c r="I12" i="14"/>
  <c r="F12" i="14"/>
  <c r="I11" i="14"/>
  <c r="F11" i="14"/>
  <c r="I10" i="14"/>
  <c r="F10" i="14"/>
  <c r="I9" i="14"/>
  <c r="F9" i="14"/>
  <c r="F6" i="14"/>
  <c r="I5" i="14"/>
  <c r="F5" i="14"/>
  <c r="I4" i="14"/>
  <c r="F4" i="14"/>
  <c r="I3" i="14"/>
  <c r="F3" i="14"/>
  <c r="I13" i="13"/>
  <c r="F13" i="13"/>
  <c r="I12" i="13"/>
  <c r="F12" i="13"/>
  <c r="I11" i="13"/>
  <c r="F11" i="13"/>
  <c r="I10" i="13"/>
  <c r="F10" i="13"/>
  <c r="I9" i="13"/>
  <c r="F9" i="13"/>
  <c r="I6" i="13"/>
  <c r="F6" i="13"/>
  <c r="I5" i="13"/>
  <c r="F5" i="13"/>
  <c r="I4" i="13"/>
  <c r="F4" i="13"/>
  <c r="I3" i="13"/>
  <c r="F3" i="13"/>
  <c r="I13" i="12"/>
  <c r="F13" i="12"/>
  <c r="F12" i="12"/>
  <c r="I11" i="12"/>
  <c r="F11" i="12"/>
  <c r="I10" i="12"/>
  <c r="F10" i="12"/>
  <c r="I9" i="12"/>
  <c r="F9" i="12"/>
  <c r="I6" i="12"/>
  <c r="F6" i="12"/>
  <c r="I5" i="12"/>
  <c r="F5" i="12"/>
  <c r="I4" i="12"/>
  <c r="F4" i="12"/>
  <c r="I3" i="12"/>
  <c r="F3" i="12"/>
  <c r="I13" i="11"/>
  <c r="F13" i="11"/>
  <c r="I12" i="11"/>
  <c r="F12" i="11"/>
  <c r="I11" i="11"/>
  <c r="F11" i="11"/>
  <c r="I10" i="11"/>
  <c r="F10" i="11"/>
  <c r="I9" i="11"/>
  <c r="F9" i="11"/>
  <c r="I5" i="11"/>
  <c r="F5" i="11"/>
  <c r="I4" i="11"/>
  <c r="F4" i="11"/>
  <c r="I3" i="11"/>
  <c r="F3" i="11"/>
  <c r="I13" i="10"/>
  <c r="F13" i="10"/>
  <c r="I12" i="10"/>
  <c r="I11" i="10"/>
  <c r="F11" i="10"/>
  <c r="I10" i="10"/>
  <c r="F10" i="10"/>
  <c r="I9" i="10"/>
  <c r="F9" i="10"/>
  <c r="I6" i="10"/>
  <c r="F6" i="10"/>
  <c r="I5" i="10"/>
  <c r="F5" i="10"/>
  <c r="I4" i="10"/>
  <c r="F4" i="10"/>
  <c r="I3" i="10"/>
  <c r="F3" i="10"/>
  <c r="I13" i="9"/>
  <c r="F13" i="9"/>
  <c r="I12" i="9"/>
  <c r="F12" i="9"/>
  <c r="I11" i="9"/>
  <c r="F11" i="9"/>
  <c r="I10" i="9"/>
  <c r="F10" i="9"/>
  <c r="I9" i="9"/>
  <c r="F9" i="9"/>
  <c r="I6" i="9"/>
  <c r="F6" i="9"/>
  <c r="I5" i="9"/>
  <c r="F5" i="9"/>
  <c r="I4" i="9"/>
  <c r="F4" i="9"/>
  <c r="I3" i="9"/>
  <c r="F3" i="9"/>
  <c r="I13" i="55"/>
  <c r="F13" i="55"/>
  <c r="I12" i="55"/>
  <c r="F12" i="55"/>
  <c r="I10" i="55"/>
  <c r="F10" i="55"/>
  <c r="I9" i="55"/>
  <c r="F9" i="55"/>
  <c r="I6" i="55"/>
  <c r="F6" i="55"/>
  <c r="I5" i="55"/>
  <c r="F5" i="55"/>
  <c r="I4" i="55"/>
  <c r="F4" i="55"/>
  <c r="I13" i="8"/>
  <c r="F13" i="8"/>
  <c r="I12" i="8"/>
  <c r="F12" i="8"/>
  <c r="I11" i="8"/>
  <c r="F11" i="8"/>
  <c r="I10" i="8"/>
  <c r="F10" i="8"/>
  <c r="I9" i="8"/>
  <c r="F9" i="8"/>
  <c r="I6" i="8"/>
  <c r="F6" i="8"/>
  <c r="I5" i="8"/>
  <c r="F5" i="8"/>
  <c r="I4" i="8"/>
  <c r="I3" i="8"/>
  <c r="F3" i="8"/>
  <c r="I13" i="52"/>
  <c r="F13" i="52"/>
  <c r="I12" i="52"/>
  <c r="F12" i="52"/>
  <c r="I11" i="52"/>
  <c r="F11" i="52"/>
  <c r="I10" i="52"/>
  <c r="F10" i="52"/>
  <c r="I9" i="52"/>
  <c r="F9" i="52"/>
  <c r="I6" i="52"/>
  <c r="F6" i="52"/>
  <c r="I5" i="52"/>
  <c r="F5" i="52"/>
  <c r="I4" i="52"/>
  <c r="F4" i="52"/>
  <c r="I3" i="52"/>
  <c r="F3" i="52"/>
  <c r="I13" i="60"/>
  <c r="F13" i="60"/>
  <c r="I12" i="60"/>
  <c r="F12" i="60"/>
  <c r="I11" i="60"/>
  <c r="F11" i="60"/>
  <c r="I10" i="60"/>
  <c r="F10" i="60"/>
  <c r="I9" i="60"/>
  <c r="F9" i="60"/>
  <c r="I6" i="60"/>
  <c r="F6" i="60"/>
  <c r="I5" i="60"/>
  <c r="F5" i="60"/>
  <c r="I4" i="60"/>
  <c r="F4" i="60"/>
  <c r="I3" i="60"/>
  <c r="F3" i="60"/>
  <c r="I13" i="6"/>
  <c r="F13" i="6"/>
  <c r="I12" i="6"/>
  <c r="I11" i="6"/>
  <c r="F11" i="6"/>
  <c r="I10" i="6"/>
  <c r="F10" i="6"/>
  <c r="I9" i="6"/>
  <c r="F9" i="6"/>
  <c r="I6" i="6"/>
  <c r="I5" i="6"/>
  <c r="F5" i="6"/>
  <c r="I4" i="6"/>
  <c r="F4" i="6"/>
  <c r="I3" i="6"/>
  <c r="F3" i="6"/>
  <c r="I13" i="49"/>
  <c r="F13" i="49"/>
  <c r="I12" i="49"/>
  <c r="F12" i="49"/>
  <c r="I11" i="49"/>
  <c r="F11" i="49"/>
  <c r="I10" i="49"/>
  <c r="F10" i="49"/>
  <c r="I9" i="49"/>
  <c r="F9" i="49"/>
  <c r="I6" i="49"/>
  <c r="F6" i="49"/>
  <c r="I5" i="49"/>
  <c r="F5" i="49"/>
  <c r="I4" i="49"/>
  <c r="F4" i="49"/>
  <c r="I3" i="49"/>
  <c r="F3" i="49"/>
  <c r="I13" i="5"/>
  <c r="F13" i="5"/>
  <c r="I12" i="5"/>
  <c r="F12" i="5"/>
  <c r="I11" i="5"/>
  <c r="F11" i="5"/>
  <c r="I10" i="5"/>
  <c r="F10" i="5"/>
  <c r="I9" i="5"/>
  <c r="F9" i="5"/>
  <c r="F6" i="5"/>
  <c r="I5" i="5"/>
  <c r="F5" i="5"/>
  <c r="I4" i="5"/>
  <c r="F4" i="5"/>
  <c r="I3" i="5"/>
  <c r="F3" i="5"/>
  <c r="I13" i="4"/>
  <c r="F13" i="4"/>
  <c r="I6" i="4"/>
  <c r="F6" i="4"/>
  <c r="I5" i="4"/>
  <c r="F5" i="4"/>
  <c r="I4" i="4"/>
  <c r="F4" i="4"/>
  <c r="I3" i="4"/>
  <c r="F3" i="4"/>
  <c r="I13" i="3"/>
  <c r="F13" i="3"/>
  <c r="I12" i="3"/>
  <c r="F12" i="3"/>
  <c r="I11" i="3"/>
  <c r="F11" i="3"/>
  <c r="F10" i="3"/>
  <c r="I9" i="3"/>
  <c r="F9" i="3"/>
  <c r="I6" i="3"/>
  <c r="F6" i="3"/>
  <c r="I5" i="3"/>
  <c r="F5" i="3"/>
  <c r="I4" i="3"/>
  <c r="F4" i="3"/>
  <c r="I3" i="3"/>
  <c r="F3" i="3"/>
  <c r="I12" i="1"/>
  <c r="I11" i="1"/>
  <c r="I10" i="1"/>
  <c r="I8" i="1"/>
  <c r="I6" i="1"/>
  <c r="I5" i="1"/>
  <c r="I4" i="1"/>
  <c r="F12" i="1"/>
  <c r="F11" i="1"/>
  <c r="F10" i="1"/>
  <c r="F8" i="1"/>
  <c r="F6" i="1"/>
  <c r="F5" i="1"/>
  <c r="F4" i="1"/>
  <c r="I3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8" authorId="0" shapeId="0" xr:uid="{2CDAB006-08E9-4F24-8FB4-DA3B6DD3612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02/20 - 1109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6CE24DE6-E4D3-4D8B-A082-5A6FF3180D5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02/20</t>
        </r>
      </text>
    </comment>
    <comment ref="L7" authorId="0" shapeId="0" xr:uid="{1444ABE4-DF8F-456A-98AD-99D4BBE9636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02/11 - 0911
02/12 - 0927
02/13 - 0923
02/14 - 0915
02/21 - 0838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7" authorId="0" shapeId="0" xr:uid="{930EFBF6-45E3-48F4-9B5D-75E494245F51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02/13 - 0805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193DCF03-0552-4793-A9FA-8C1FF41BE49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02/20
02/16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08A51B7F-D987-4EA5-B7B3-DB32E87E876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02/16
02/19</t>
        </r>
      </text>
    </comment>
    <comment ref="L7" authorId="0" shapeId="0" xr:uid="{06D358DD-8846-4E52-97B5-A347A986FD5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02/17 - 0811
02/18 - 0840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45744536-1086-4BED-8DFC-C2CF6D4197C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02/16
02/14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FA62980D-3D5C-44C6-AEBA-539EC930E83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02/13
02/16</t>
        </r>
      </text>
    </comment>
    <comment ref="L7" authorId="0" shapeId="0" xr:uid="{EA9C0071-765F-440A-B4AE-59ACEA99EAC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02/14 - 0809</t>
        </r>
      </text>
    </comment>
    <comment ref="L9" authorId="0" shapeId="0" xr:uid="{0F7831A4-EEF5-4052-9E98-C63D9CC9CE1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02/12 - 5H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5EFB0244-9273-4EDD-9BCC-037BB315BB1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02/11
02/16
02/19</t>
        </r>
      </text>
    </comment>
    <comment ref="L7" authorId="0" shapeId="0" xr:uid="{3F3E763C-184F-44D7-B993-198C0CE4164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02/13 - 0813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7" authorId="0" shapeId="0" xr:uid="{66C7D54A-07E8-4643-ACFF-438193AA82B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02/19 - 0905
02/21 - 0929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AC70689D-918B-4E14-97CB-030470BFCE7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02/14
02/16</t>
        </r>
      </text>
    </comment>
    <comment ref="L7" authorId="0" shapeId="0" xr:uid="{44F9A782-55FE-442E-9BF8-0B323429010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02/18 - 0804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7" authorId="0" shapeId="0" xr:uid="{CBE37A27-BB57-47F4-8DFE-186FF197E04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02/14 - 0816</t>
        </r>
      </text>
    </comment>
    <comment ref="L9" authorId="0" shapeId="0" xr:uid="{74E83380-9E3D-46C1-8BD0-448E503E3B8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02/12 - .75
02/20 - 1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0C22A638-94B2-40C4-BDBB-9DA1F0B940F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20C37FDD-740E-41C6-BA54-4BB7034CD9A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02/16</t>
        </r>
      </text>
    </comment>
    <comment ref="L7" authorId="0" shapeId="0" xr:uid="{2CB21C15-5099-42F5-A9BA-7A80B1438CF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02/11 - 0802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0C6574AA-50C7-4F8B-92BF-E271FEE0B36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02/16</t>
        </r>
      </text>
    </comment>
    <comment ref="L7" authorId="0" shapeId="0" xr:uid="{DCD80E7A-E7E3-4C9B-A1B7-4C5F366D8DD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02/17 - 0905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3DF387BC-D6A1-4CED-8BB5-D56A2D3A589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02/16
02/21</t>
        </r>
      </text>
    </comment>
    <comment ref="L9" authorId="0" shapeId="0" xr:uid="{3ECB09C1-D1FE-4F5D-83F9-672D7EC8350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02/12 - 5H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1BBC5B52-E018-42F4-BA6E-7D38E99EE98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02/16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0B45DE8E-DD31-4DBB-888E-FCC549B85BD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02/11
02/16
</t>
        </r>
      </text>
    </comment>
    <comment ref="L7" authorId="0" shapeId="0" xr:uid="{8B6C9C70-74C3-4A1C-B3A5-7D53A4DEA4A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02/19 - 0816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7" authorId="0" shapeId="0" xr:uid="{FD71135D-CD0D-4E5D-A824-DD041C8A4E8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02/12 - 0806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E1BC5641-4ABC-49A4-8C5A-C94F2C0C0F4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02/20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AC66BCDA-053B-4B04-908F-76A23AEF3E3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02/14
02/16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3EDFB299-498C-42EC-820A-6AC43210B5D7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02/16
02/19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4DBCA371-F1C0-43DB-9CF9-0DDE90B0ECD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02/13
02/16</t>
        </r>
      </text>
    </comment>
    <comment ref="L7" authorId="0" shapeId="0" xr:uid="{CD78DDC7-4723-42D2-BCD2-5923A56CD66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02/14 - 0808</t>
        </r>
      </text>
    </comment>
    <comment ref="L9" authorId="0" shapeId="0" xr:uid="{291A2FB0-F7B6-4B7A-A419-DD71A252569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02/20 - 4H
02/17 - 7.25H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2D527118-712B-45C8-9484-1786E69590F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02/16</t>
        </r>
      </text>
    </comment>
    <comment ref="L7" authorId="0" shapeId="0" xr:uid="{2BBB9B26-EB4A-4395-A7E8-41C7CFFD710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02/11 - 0805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F3228670-FADB-4070-B55F-5E1C22663B2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02/16</t>
        </r>
      </text>
    </comment>
    <comment ref="L7" authorId="0" shapeId="0" xr:uid="{BE54A595-F609-4341-98C8-48ABB89A1F5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02/13 - 0801
02/14 - 0814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1387AE82-6A06-434F-AC0C-29914A1E50B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02/16</t>
        </r>
      </text>
    </comment>
    <comment ref="L7" authorId="0" shapeId="0" xr:uid="{447FA3A1-9C9B-45AA-800E-6A1AB8BFF69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02/11 - 0804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5BF9A8D7-4B65-480C-98CF-4E3B2A6FA72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02/16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3FED4E15-8EB5-4221-A36B-1F6712C3FDF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02/16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D70786F6-1BF2-4AC8-B5AD-1EE2455C5C2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02/16</t>
        </r>
      </text>
    </comment>
    <comment ref="L9" authorId="0" shapeId="0" xr:uid="{F440A5D5-02F5-4675-9EF6-A1A98B209F5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02/20 - 2H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DE04DE71-BE48-40AB-B35F-26DDD690425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02/16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34EF5628-9C73-451E-B787-D1FA6EAC9E6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02/16
02/21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23412E2F-5177-4468-8F92-6F50E359FC0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02/16</t>
        </r>
      </text>
    </comment>
    <comment ref="L7" authorId="0" shapeId="0" xr:uid="{00F67D74-C8FA-4DAA-9F07-024C10477B9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02/20 - 0801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8A0CD4CF-B6B5-4ED1-934C-D630B5DC9FE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02/16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BAE1815B-5CF4-4FC7-A5F3-AAFE36F1DFD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02/19</t>
        </r>
      </text>
    </comment>
    <comment ref="L7" authorId="0" shapeId="0" xr:uid="{59578E46-F160-40C7-A03A-7DEAABEA315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02/12 - 0819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1CD47FA3-2A73-4730-A8FC-7672413CB79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02/21</t>
        </r>
      </text>
    </comment>
    <comment ref="L8" authorId="0" shapeId="0" xr:uid="{85AC1CA6-6D94-4CA5-A67D-3018C90661F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02/20 - 0430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6" authorId="0" shapeId="0" xr:uid="{14F9B541-E0C5-4C66-9A97-F16F7E4BEDF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02/16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J6" authorId="0" shapeId="0" xr:uid="{3EC0955F-3899-4609-B757-47447048D33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02/14</t>
        </r>
      </text>
    </comment>
    <comment ref="L6" authorId="0" shapeId="0" xr:uid="{041E089F-0D86-4678-8B0B-FB513F8DAC1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02/14</t>
        </r>
      </text>
    </comment>
  </commentList>
</comments>
</file>

<file path=xl/sharedStrings.xml><?xml version="1.0" encoding="utf-8"?>
<sst xmlns="http://schemas.openxmlformats.org/spreadsheetml/2006/main" count="3308" uniqueCount="944">
  <si>
    <t>Name</t>
  </si>
  <si>
    <t>Emp. Number</t>
  </si>
  <si>
    <t>MORNING</t>
  </si>
  <si>
    <t>AFTERNOON</t>
  </si>
  <si>
    <t>IN</t>
  </si>
  <si>
    <t>OUT</t>
  </si>
  <si>
    <t>LEAVE:</t>
  </si>
  <si>
    <t>ABSENT:</t>
  </si>
  <si>
    <t>LATE:</t>
  </si>
  <si>
    <t>UT:</t>
  </si>
  <si>
    <t>OT:</t>
  </si>
  <si>
    <t>BERNALES, MARITES L.</t>
  </si>
  <si>
    <t>2022-0885</t>
  </si>
  <si>
    <t>RESTDAY</t>
  </si>
  <si>
    <t>2019-0106</t>
  </si>
  <si>
    <t>2020-1251</t>
  </si>
  <si>
    <t>VELASQUEZ, KATHLEEN M.</t>
  </si>
  <si>
    <t>REMARKS</t>
  </si>
  <si>
    <t>2022-1292</t>
  </si>
  <si>
    <t>ABISTADO, ADA YESSA M.</t>
  </si>
  <si>
    <t>2022-1089</t>
  </si>
  <si>
    <t>AGON, JIMMARK ACE M.</t>
  </si>
  <si>
    <t>2023-11117</t>
  </si>
  <si>
    <t>BARQUILLA, VANESSA KYLA A.</t>
  </si>
  <si>
    <t>2021-0969</t>
  </si>
  <si>
    <t>BAUTISTA, MARK EDWARD</t>
  </si>
  <si>
    <t>2022-0280</t>
  </si>
  <si>
    <t>BELEN, SHAINAH MAE I.</t>
  </si>
  <si>
    <t>2022-0884</t>
  </si>
  <si>
    <t>BERON, JEMMALEAH VICENTE</t>
  </si>
  <si>
    <t>2023-0389</t>
  </si>
  <si>
    <t>BLANCO, MAY ANNE D.</t>
  </si>
  <si>
    <t>2021-0154</t>
  </si>
  <si>
    <t>CABANDOG, JOEL J.</t>
  </si>
  <si>
    <t>2023-05103</t>
  </si>
  <si>
    <t>CALANSANAN, DENNIS B.</t>
  </si>
  <si>
    <t>2023-08115</t>
  </si>
  <si>
    <t>CALINGASAN, ERNIE</t>
  </si>
  <si>
    <t>2022-0170</t>
  </si>
  <si>
    <t>DAVID, JOHN HEZON Q.</t>
  </si>
  <si>
    <t>2019-0932</t>
  </si>
  <si>
    <t>DE ROXAS, RONIO A.</t>
  </si>
  <si>
    <t>2022-0171</t>
  </si>
  <si>
    <t>DELAPUS, CHRISTOPHER M.</t>
  </si>
  <si>
    <t>2024-01123</t>
  </si>
  <si>
    <t>ENTRADA, DANNY</t>
  </si>
  <si>
    <t>2023-06106</t>
  </si>
  <si>
    <t>ESCAREZ, CHELLSEE V.</t>
  </si>
  <si>
    <t>2021-01119</t>
  </si>
  <si>
    <t>GARDOCE, LEAN S.</t>
  </si>
  <si>
    <t>2023-12118</t>
  </si>
  <si>
    <t>HORCA, ERICA B.</t>
  </si>
  <si>
    <t>2019-0931</t>
  </si>
  <si>
    <t>MENDOZA, GILBERT B.</t>
  </si>
  <si>
    <t>2022-0178</t>
  </si>
  <si>
    <t>MERCADO, JAMAICA M.</t>
  </si>
  <si>
    <t>2019-0113</t>
  </si>
  <si>
    <t>MINA, ANTHONY C.</t>
  </si>
  <si>
    <t>2023-07109</t>
  </si>
  <si>
    <t>OZAETA, JHON HAROLD C.</t>
  </si>
  <si>
    <t>2020-0745</t>
  </si>
  <si>
    <t>PARABOLES, OLIVA D.</t>
  </si>
  <si>
    <t>2023-09116</t>
  </si>
  <si>
    <t>RAMIREZ, EVAN LAE</t>
  </si>
  <si>
    <t>2021-0762</t>
  </si>
  <si>
    <t>RAMOS, HAZEL ANN M.</t>
  </si>
  <si>
    <t>2019-0116</t>
  </si>
  <si>
    <t>SANCHEZ, NANCY A.</t>
  </si>
  <si>
    <t>2022-0174</t>
  </si>
  <si>
    <t>TORILLAS, LEONELYN P.</t>
  </si>
  <si>
    <t>2024-01120</t>
  </si>
  <si>
    <t xml:space="preserve">VICENTE, JERRIE MAE </t>
  </si>
  <si>
    <t>2022-0988</t>
  </si>
  <si>
    <t>VILLEZA, MYLENE ANN F.</t>
  </si>
  <si>
    <t>2024-08128</t>
  </si>
  <si>
    <t>ABLING, JHON JOMER</t>
  </si>
  <si>
    <t>2024-04125</t>
  </si>
  <si>
    <t>GIAGONNE, CONNIE B.</t>
  </si>
  <si>
    <t>2024-08130</t>
  </si>
  <si>
    <t>GONZALES, ABEGAIL</t>
  </si>
  <si>
    <t>DATE</t>
  </si>
  <si>
    <t>2020-0242</t>
  </si>
  <si>
    <t>DELICA, RICO Y.</t>
  </si>
  <si>
    <t>2024-09131</t>
  </si>
  <si>
    <t>BALMES, JEFREY A.</t>
  </si>
  <si>
    <t>2024-09132</t>
  </si>
  <si>
    <t>DECILLO, GIAN KYLE V.</t>
  </si>
  <si>
    <t>2024-10133</t>
  </si>
  <si>
    <t>BAUTISTA, DAN ANDREI B.</t>
  </si>
  <si>
    <t>SACDALAN, ROBERT T.</t>
  </si>
  <si>
    <t>2024-10134</t>
  </si>
  <si>
    <t>2025-01136</t>
  </si>
  <si>
    <t>CHAVEZ, IRESE</t>
  </si>
  <si>
    <t>2025-01137</t>
  </si>
  <si>
    <t>CHAVEZ, JOVIN</t>
  </si>
  <si>
    <t>2025-02140</t>
  </si>
  <si>
    <t>2025-02138</t>
  </si>
  <si>
    <t>2025-02139</t>
  </si>
  <si>
    <t>DALAN, JOHN ARENZ</t>
  </si>
  <si>
    <t>MALIBAGO, JOBERT</t>
  </si>
  <si>
    <t>AGUHO, RAPHAEL</t>
  </si>
  <si>
    <t>2025-02141</t>
  </si>
  <si>
    <t>ORAYA, GEIN</t>
  </si>
  <si>
    <t>2025-03142</t>
  </si>
  <si>
    <t>GASCO, CRYSTAL MAY</t>
  </si>
  <si>
    <t>CARDILLO, KIMBERLY D.</t>
  </si>
  <si>
    <t xml:space="preserve"> </t>
  </si>
  <si>
    <t>2025-08145</t>
  </si>
  <si>
    <t>MEDRANO, DOMINIC</t>
  </si>
  <si>
    <t>2025-08146</t>
  </si>
  <si>
    <t>CASTILLO, JEMARJO A.</t>
  </si>
  <si>
    <t>OFFSET</t>
  </si>
  <si>
    <t>2/11/2026 7:51:50 AM</t>
  </si>
  <si>
    <t>2/11/2026 5:21:12 PM</t>
  </si>
  <si>
    <t>2/12/2026 7:42:54 AM</t>
  </si>
  <si>
    <t>2/12/2026 5:36:02 PM</t>
  </si>
  <si>
    <t>2/13/2026 7:43:19 AM</t>
  </si>
  <si>
    <t>2/13/2026 5:22:12 PM</t>
  </si>
  <si>
    <t>2/14/2026 7:50:28 AM</t>
  </si>
  <si>
    <t>2/14/2026 5:07:19 PM</t>
  </si>
  <si>
    <t>2/16/2026 7:57:10 AM</t>
  </si>
  <si>
    <t>2/16/2026 5:10:08 PM</t>
  </si>
  <si>
    <t>2/18/2026 7:35:24 AM</t>
  </si>
  <si>
    <t>2/18/2026 5:21:19 PM</t>
  </si>
  <si>
    <t>2/19/2026 7:31:41 AM</t>
  </si>
  <si>
    <t>2/19/2026 6:52:22 PM</t>
  </si>
  <si>
    <t>2/20/2026 11:09:39 AM</t>
  </si>
  <si>
    <t>2/20/2026 5:19:09 PM</t>
  </si>
  <si>
    <t>HOLIDAY</t>
  </si>
  <si>
    <t>2/11/2026 7:58:06 AM</t>
  </si>
  <si>
    <t>2/11/2026 5:01:43 PM</t>
  </si>
  <si>
    <t>2/12/2026 7:55:49 AM</t>
  </si>
  <si>
    <t>2/12/2026 5:03:06 PM</t>
  </si>
  <si>
    <t>2/13/2026 7:43:21 AM</t>
  </si>
  <si>
    <t>2/13/2026 5:00:48 PM</t>
  </si>
  <si>
    <t>2/14/2026 7:52:07 AM</t>
  </si>
  <si>
    <t>2/14/2026 5:02:10 PM</t>
  </si>
  <si>
    <t>2/17/2026 7:22:53 AM</t>
  </si>
  <si>
    <t>2/17/2026 5:02:28 PM</t>
  </si>
  <si>
    <t>2/18/2026 7:54:41 AM</t>
  </si>
  <si>
    <t>2/19/2026 7:44:29 AM</t>
  </si>
  <si>
    <t>2/19/2026 5:01:39 PM</t>
  </si>
  <si>
    <t>2/20/2026 7:35:40 AM</t>
  </si>
  <si>
    <t>2/20/2026 5:01:32 PM</t>
  </si>
  <si>
    <t>2/21/2026 8:00:30 AM</t>
  </si>
  <si>
    <t>2/21/2026 5:02:46 PM</t>
  </si>
  <si>
    <t>2/11/2026 9:11:39 AM</t>
  </si>
  <si>
    <t>2/11/2026 6:21:44 PM</t>
  </si>
  <si>
    <t>2/12/2026 9:27:02 AM</t>
  </si>
  <si>
    <t>2/12/2026 6:24:32 PM</t>
  </si>
  <si>
    <t>2/13/2026 9:23:51 AM</t>
  </si>
  <si>
    <t>2/13/2026 7:38:01 PM</t>
  </si>
  <si>
    <t>2/14/2026 9:15:21 AM</t>
  </si>
  <si>
    <t>2/14/2026 5:04:25 PM</t>
  </si>
  <si>
    <t>2/21/2026 8:38:05 AM</t>
  </si>
  <si>
    <t>2/21/2026 5:07:58 PM</t>
  </si>
  <si>
    <t>ABSENT</t>
  </si>
  <si>
    <t>2/11/2026 7:40:54 AM</t>
  </si>
  <si>
    <t>2/11/2026 5:06:28 PM</t>
  </si>
  <si>
    <t>2/12/2026 7:40:41 AM</t>
  </si>
  <si>
    <t>2/12/2026 5:00:27 PM</t>
  </si>
  <si>
    <t>2/13/2026 8:05:49 AM</t>
  </si>
  <si>
    <t>2/13/2026 5:00:22 PM</t>
  </si>
  <si>
    <t>2/14/2026 7:19:20 AM</t>
  </si>
  <si>
    <t>2/17/2026 7:54:30 AM</t>
  </si>
  <si>
    <t>2/17/2026 5:01:12 PM</t>
  </si>
  <si>
    <t>2/18/2026 7:34:06 AM</t>
  </si>
  <si>
    <t>2/18/2026 5:01:03 PM</t>
  </si>
  <si>
    <t>2/19/2026 7:41:28 AM</t>
  </si>
  <si>
    <t>2/19/2026 5:00:36 PM</t>
  </si>
  <si>
    <t>2/20/2026 7:40:00 AM</t>
  </si>
  <si>
    <t>2/20/2026 5:00:10 PM</t>
  </si>
  <si>
    <t>2/21/2026 7:45:30 AM</t>
  </si>
  <si>
    <t>2/21/2026 5:02:40 PM</t>
  </si>
  <si>
    <t>2/11/2026 7:21:05 AM</t>
  </si>
  <si>
    <t>2/11/2026 5:02:02 PM</t>
  </si>
  <si>
    <t>2/12/2026 7:09:33 AM</t>
  </si>
  <si>
    <t>2/12/2026 5:02:51 PM</t>
  </si>
  <si>
    <t>2/13/2026 7:07:43 AM</t>
  </si>
  <si>
    <t>2/13/2026 5:01:24 PM</t>
  </si>
  <si>
    <t>2/14/2026 7:05:37 AM</t>
  </si>
  <si>
    <t>2/14/2026 5:14:11 PM</t>
  </si>
  <si>
    <t>2/17/2026 7:00:03 AM</t>
  </si>
  <si>
    <t>2/17/2026 5:01:20 PM</t>
  </si>
  <si>
    <t>2/18/2026 6:41:29 AM</t>
  </si>
  <si>
    <t>2/18/2026 5:01:44 PM</t>
  </si>
  <si>
    <t>2/19/2026 6:54:25 AM</t>
  </si>
  <si>
    <t>2/19/2026 5:01:19 PM</t>
  </si>
  <si>
    <t>2/20/2026 7:04:14 AM</t>
  </si>
  <si>
    <t>2/20/2026 12:34:21 PM</t>
  </si>
  <si>
    <t>2/21/2026 7:08:51 AM</t>
  </si>
  <si>
    <t>2/21/2026 5:01:37 PM</t>
  </si>
  <si>
    <t>2/11/2026 7:48:40 AM</t>
  </si>
  <si>
    <t>2/11/2026 5:02:13 PM</t>
  </si>
  <si>
    <t>2/12/2026 7:51:01 AM</t>
  </si>
  <si>
    <t>2/12/2026 5:02:05 PM</t>
  </si>
  <si>
    <t>2/13/2026 7:55:54 AM</t>
  </si>
  <si>
    <t>2/13/2026 5:00:37 PM</t>
  </si>
  <si>
    <t>2/14/2026 5:00:23 PM</t>
  </si>
  <si>
    <t>2/17/2026 7:41:13 AM</t>
  </si>
  <si>
    <t>2/17/2026 5:01:15 PM</t>
  </si>
  <si>
    <t>2/18/2026 7:40:13 AM</t>
  </si>
  <si>
    <t>2/18/2026 5:00:42 PM</t>
  </si>
  <si>
    <t>2/19/2026 7:38:50 AM</t>
  </si>
  <si>
    <t>2/19/2026 5:01:36 PM</t>
  </si>
  <si>
    <t>2/20/2026 5:00:19 PM</t>
  </si>
  <si>
    <t>2/21/2026 7:46:43 AM</t>
  </si>
  <si>
    <t>2/21/2026 5:03:28 PM</t>
  </si>
  <si>
    <t>2/11/2026 7:59:23 AM</t>
  </si>
  <si>
    <t>2/11/2026 5:00:20 PM</t>
  </si>
  <si>
    <t>2/12/2026 7:57:42 AM</t>
  </si>
  <si>
    <t>2/12/2026 5:00:25 PM</t>
  </si>
  <si>
    <t>2/13/2026 7:56:27 AM</t>
  </si>
  <si>
    <t>2/13/2026 5:00:18 PM</t>
  </si>
  <si>
    <t>2/14/2026 7:55:14 AM</t>
  </si>
  <si>
    <t>2/14/2026 5:00:12 PM</t>
  </si>
  <si>
    <t>2/17/2026 8:11:28 AM</t>
  </si>
  <si>
    <t>2/17/2026 5:01:44 PM</t>
  </si>
  <si>
    <t>2/18/2026 8:40:20 AM</t>
  </si>
  <si>
    <t>2/18/2026 5:00:37 PM</t>
  </si>
  <si>
    <t>2/19/2026 7:54:25 AM</t>
  </si>
  <si>
    <t>2/19/2026 12:00:18 PM</t>
  </si>
  <si>
    <t>2/20/2026 7:46:52 AM</t>
  </si>
  <si>
    <t>2/20/2026 5:01:51 PM</t>
  </si>
  <si>
    <t>2/21/2026 7:57:09 AM</t>
  </si>
  <si>
    <t>2/21/2026 5:02:09 PM</t>
  </si>
  <si>
    <t>2/11/2026 7:49:05 AM</t>
  </si>
  <si>
    <t>2/11/2026 5:07:29 PM</t>
  </si>
  <si>
    <t>2/12/2026 7:49:29 AM</t>
  </si>
  <si>
    <t>2/12/2026 5:01:36 PM</t>
  </si>
  <si>
    <t>2/13/2026 7:51:52 AM</t>
  </si>
  <si>
    <t>2/13/2026 5:00:20 PM</t>
  </si>
  <si>
    <t>2/14/2026 11:54:49 AM</t>
  </si>
  <si>
    <t>2/14/2026 5:08:20 PM</t>
  </si>
  <si>
    <t>2/17/2026 7:35:55 AM</t>
  </si>
  <si>
    <t>2/17/2026 5:00:20 PM</t>
  </si>
  <si>
    <t>2/18/2026 7:38:28 AM</t>
  </si>
  <si>
    <t>2/18/2026 5:00:46 PM</t>
  </si>
  <si>
    <t>2/19/2026 7:43:09 AM</t>
  </si>
  <si>
    <t>2/19/2026 5:00:26 PM</t>
  </si>
  <si>
    <t>2/20/2026 7:42:02 AM</t>
  </si>
  <si>
    <t>2/20/2026 5:08:47 PM</t>
  </si>
  <si>
    <t>2/21/2026 7:42:05 AM</t>
  </si>
  <si>
    <t>2/21/2026 5:00:59 PM</t>
  </si>
  <si>
    <t>2/11/2026 7:30:54 AM</t>
  </si>
  <si>
    <t>2/11/2026 6:09:14 PM</t>
  </si>
  <si>
    <t>2/12/2026 6:11:39 PM</t>
  </si>
  <si>
    <t>2/13/2026 12:33:41 PM</t>
  </si>
  <si>
    <t>2/13/2026 5:41:39 PM</t>
  </si>
  <si>
    <t>2/14/2026 8:09:07 AM</t>
  </si>
  <si>
    <t>2/14/2026 5:13:29 PM</t>
  </si>
  <si>
    <t>2/17/2026 7:47:07 AM</t>
  </si>
  <si>
    <t>2/17/2026 5:05:45 PM</t>
  </si>
  <si>
    <t>2/18/2026 7:21:02 AM</t>
  </si>
  <si>
    <t>2/18/2026 6:08:23 PM</t>
  </si>
  <si>
    <t>2/19/2026 7:37:34 AM</t>
  </si>
  <si>
    <t>2/19/2026 6:02:07 PM</t>
  </si>
  <si>
    <t>2/20/2026 7:40:06 AM</t>
  </si>
  <si>
    <t>2/20/2026 5:29:50 PM</t>
  </si>
  <si>
    <t>2/21/2026 7:42:52 AM</t>
  </si>
  <si>
    <t>2/21/2026 5:44:34 PM</t>
  </si>
  <si>
    <t>HALF DAY</t>
  </si>
  <si>
    <t>2/12/2026 7:48:32 AM</t>
  </si>
  <si>
    <t>2/12/2026 5:01:18 PM</t>
  </si>
  <si>
    <t>2/13/2026 8:13:07 AM</t>
  </si>
  <si>
    <t>2/13/2026 5:01:34 PM</t>
  </si>
  <si>
    <t>2/14/2026 7:46:43 AM</t>
  </si>
  <si>
    <t>2/14/2026 5:04:30 PM</t>
  </si>
  <si>
    <t>2/17/2026 7:50:05 AM</t>
  </si>
  <si>
    <t>2/17/2026 5:00:49 PM</t>
  </si>
  <si>
    <t>2/18/2026 7:56:11 AM</t>
  </si>
  <si>
    <t>2/18/2026 5:00:55 PM</t>
  </si>
  <si>
    <t>2/20/2026 7:44:06 AM</t>
  </si>
  <si>
    <t>2/20/2026 5:00:32 PM</t>
  </si>
  <si>
    <t>2/21/2026 7:49:02 AM</t>
  </si>
  <si>
    <t>2/21/2026 5:00:25 PM</t>
  </si>
  <si>
    <t>2/11/2026 7:45:46 AM</t>
  </si>
  <si>
    <t>2/11/2026 5:07:18 PM</t>
  </si>
  <si>
    <t>2/12/2026 7:59:30 AM</t>
  </si>
  <si>
    <t>2/12/2026 5:01:48 PM</t>
  </si>
  <si>
    <t>2/13/2026 7:56:59 AM</t>
  </si>
  <si>
    <t>2/13/2026 5:04:53 PM</t>
  </si>
  <si>
    <t>2/14/2026 7:53:13 AM</t>
  </si>
  <si>
    <t>2/14/2026 5:01:37 PM</t>
  </si>
  <si>
    <t>2/17/2026 7:53:46 AM</t>
  </si>
  <si>
    <t>2/17/2026 5:02:07 PM</t>
  </si>
  <si>
    <t>2/18/2026 7:57:30 AM</t>
  </si>
  <si>
    <t>2/18/2026 5:17:43 PM</t>
  </si>
  <si>
    <t>2/19/2026 7:56:46 AM</t>
  </si>
  <si>
    <t>2/19/2026 5:01:02 PM</t>
  </si>
  <si>
    <t>2/20/2026 7:55:46 AM</t>
  </si>
  <si>
    <t>2/20/2026 5:01:28 PM</t>
  </si>
  <si>
    <t>2/21/2026 7:53:59 AM</t>
  </si>
  <si>
    <t>2/21/2026 5:02:19 PM</t>
  </si>
  <si>
    <t>2/11/2026 7:04:21 AM</t>
  </si>
  <si>
    <t>2/11/2026 5:09:24 PM</t>
  </si>
  <si>
    <t>2/12/2026 7:10:56 AM</t>
  </si>
  <si>
    <t>2/12/2026 5:57:05 PM</t>
  </si>
  <si>
    <t>2/13/2026 7:11:28 AM</t>
  </si>
  <si>
    <t>2/13/2026 5:08:27 PM</t>
  </si>
  <si>
    <t>2/14/2026 7:55:09 AM</t>
  </si>
  <si>
    <t>2/14/2026 5:03:05 PM</t>
  </si>
  <si>
    <t>2/17/2026 9:05:24 AM</t>
  </si>
  <si>
    <t>2/17/2026 8:54:23 PM</t>
  </si>
  <si>
    <t>2/18/2026 7:49:07 AM</t>
  </si>
  <si>
    <t>2/18/2026 5:03:11 PM</t>
  </si>
  <si>
    <t>2/19/2026 7:58:46 AM</t>
  </si>
  <si>
    <t>2/19/2026 6:33:15 PM</t>
  </si>
  <si>
    <t>2/20/2026 5:04:59 PM</t>
  </si>
  <si>
    <t>2/21/2026 9:29:36 AM</t>
  </si>
  <si>
    <t>2/21/2026 5:12:34 PM</t>
  </si>
  <si>
    <t>2/11/2026 7:49:27 AM</t>
  </si>
  <si>
    <t>2/11/2026 5:04:24 PM</t>
  </si>
  <si>
    <t>2/12/2026 7:55:34 AM</t>
  </si>
  <si>
    <t>2/12/2026 5:01:05 PM</t>
  </si>
  <si>
    <t>2/13/2026 7:55:59 AM</t>
  </si>
  <si>
    <t>2/13/2026 5:00:31 PM</t>
  </si>
  <si>
    <t>2/17/2026 7:35:24 AM</t>
  </si>
  <si>
    <t>2/17/2026 5:02:15 PM</t>
  </si>
  <si>
    <t>2/18/2026 8:04:48 AM</t>
  </si>
  <si>
    <t>2/18/2026 5:01:30 PM</t>
  </si>
  <si>
    <t>2/19/2026 7:52:12 AM</t>
  </si>
  <si>
    <t>2/19/2026 5:00:42 PM</t>
  </si>
  <si>
    <t>2/20/2026 7:44:54 AM</t>
  </si>
  <si>
    <t>2/20/2026 5:03:58 PM</t>
  </si>
  <si>
    <t>2/21/2026 7:51:21 AM</t>
  </si>
  <si>
    <t>2/21/2026 5:02:11 PM</t>
  </si>
  <si>
    <t>2/11/2026 7:55:25 AM</t>
  </si>
  <si>
    <t>2/11/2026 5:25:43 PM</t>
  </si>
  <si>
    <t>2/12/2026 7:57:59 AM</t>
  </si>
  <si>
    <t>2/12/2026 5:35:42 PM</t>
  </si>
  <si>
    <t>2/13/2026 7:58:18 AM</t>
  </si>
  <si>
    <t>2/13/2026 5:20:27 PM</t>
  </si>
  <si>
    <t>2/14/2026 8:06:28 AM</t>
  </si>
  <si>
    <t>2/14/2026 5:13:24 PM</t>
  </si>
  <si>
    <t>2/17/2026 7:49:31 AM</t>
  </si>
  <si>
    <t>2/17/2026 5:27:51 PM</t>
  </si>
  <si>
    <t>2/18/2026 7:42:10 AM</t>
  </si>
  <si>
    <t>2/18/2026 6:08:25 PM</t>
  </si>
  <si>
    <t>2/19/2026 7:44:16 AM</t>
  </si>
  <si>
    <t>2/19/2026 5:22:43 PM</t>
  </si>
  <si>
    <t>2/20/2026 7:51:04 AM</t>
  </si>
  <si>
    <t>2/20/2026 6:01:16 PM</t>
  </si>
  <si>
    <t>2/21/2026 7:59:28 AM</t>
  </si>
  <si>
    <t>2/21/2026 5:13:06 PM</t>
  </si>
  <si>
    <t>2/11/2026 7:58:41 AM</t>
  </si>
  <si>
    <t>2/11/2026 5:00:24 PM</t>
  </si>
  <si>
    <t>2/12/2026 7:56:25 AM</t>
  </si>
  <si>
    <t>2/12/2026 5:01:03 PM</t>
  </si>
  <si>
    <t>2/13/2026 7:58:23 AM</t>
  </si>
  <si>
    <t>2/13/2026 5:01:11 PM</t>
  </si>
  <si>
    <t>2/14/2026 7:54:58 AM</t>
  </si>
  <si>
    <t>2/14/2026 5:00:07 PM</t>
  </si>
  <si>
    <t>2/17/2026 7:51:46 AM</t>
  </si>
  <si>
    <t>2/17/2026 5:02:20 PM</t>
  </si>
  <si>
    <t>2/18/2026 7:56:44 AM</t>
  </si>
  <si>
    <t>2/18/2026 5:01:50 PM</t>
  </si>
  <si>
    <t>2/19/2026 7:57:15 AM</t>
  </si>
  <si>
    <t>2/19/2026 5:01:34 PM</t>
  </si>
  <si>
    <t>2/20/2026 7:56:53 AM</t>
  </si>
  <si>
    <t>2/20/2026 5:00:17 PM</t>
  </si>
  <si>
    <t>2/21/2026 7:55:23 AM</t>
  </si>
  <si>
    <t>2/21/2026 5:02:07 PM</t>
  </si>
  <si>
    <t>2/11/2026 7:44:10 AM</t>
  </si>
  <si>
    <t>2/11/2026 5:00:18 PM</t>
  </si>
  <si>
    <t>2/12/2026 7:46:22 AM</t>
  </si>
  <si>
    <t>2/12/2026 5:01:17 PM</t>
  </si>
  <si>
    <t>2/13/2026 7:51:47 AM</t>
  </si>
  <si>
    <t>2/13/2026 5:00:35 PM</t>
  </si>
  <si>
    <t>2/14/2026 7:46:28 AM</t>
  </si>
  <si>
    <t>2/14/2026 7:46:29 AM</t>
  </si>
  <si>
    <t>2/17/2026 7:46:16 AM</t>
  </si>
  <si>
    <t>2/17/2026 5:00:21 PM</t>
  </si>
  <si>
    <t>2/18/2026 7:54:45 AM</t>
  </si>
  <si>
    <t>2/18/2026 5:01:01 PM</t>
  </si>
  <si>
    <t>2/19/2026 7:43:24 AM</t>
  </si>
  <si>
    <t>2/19/2026 5:02:55 PM</t>
  </si>
  <si>
    <t>2/20/2026 7:59:12 AM</t>
  </si>
  <si>
    <t>2/20/2026 5:01:55 PM</t>
  </si>
  <si>
    <t>2/21/2026 7:50:06 AM</t>
  </si>
  <si>
    <t>2/21/2026 5:02:22 PM</t>
  </si>
  <si>
    <t>2/11/2026 7:26:37 AM</t>
  </si>
  <si>
    <t>2/11/2026 5:01:38 PM</t>
  </si>
  <si>
    <t>2/12/2026 7:11:21 AM</t>
  </si>
  <si>
    <t>2/12/2026 5:04:18 PM</t>
  </si>
  <si>
    <t>2/13/2026 7:26:57 AM</t>
  </si>
  <si>
    <t>2/13/2026 5:02:15 PM</t>
  </si>
  <si>
    <t>2/14/2026 6:47:36 AM</t>
  </si>
  <si>
    <t>2/14/2026 5:02:37 PM</t>
  </si>
  <si>
    <t>2/17/2026 7:07:59 AM</t>
  </si>
  <si>
    <t>2/17/2026 5:01:29 PM</t>
  </si>
  <si>
    <t>2/18/2026 6:54:58 AM</t>
  </si>
  <si>
    <t>2/18/2026 5:01:37 PM</t>
  </si>
  <si>
    <t>2/19/2026 7:16:11 AM</t>
  </si>
  <si>
    <t>2/19/2026 5:01:22 PM</t>
  </si>
  <si>
    <t>2/20/2026 6:59:47 AM</t>
  </si>
  <si>
    <t>2/20/2026 5:02:11 PM</t>
  </si>
  <si>
    <t>2/21/2026 7:10:39 AM</t>
  </si>
  <si>
    <t>2/21/2026 5:05:16 PM</t>
  </si>
  <si>
    <t>2/11/2026 8:02:34 AM</t>
  </si>
  <si>
    <t>2/11/2026 5:01:01 PM</t>
  </si>
  <si>
    <t>2/12/2026 7:52:55 AM</t>
  </si>
  <si>
    <t>2/12/2026 5:01:33 PM</t>
  </si>
  <si>
    <t>2/13/2026 7:56:06 AM</t>
  </si>
  <si>
    <t>2/13/2026 5:00:24 PM</t>
  </si>
  <si>
    <t>2/14/2026 7:51:05 AM</t>
  </si>
  <si>
    <t>2/14/2026 5:01:39 PM</t>
  </si>
  <si>
    <t>2/17/2026 7:51:13 AM</t>
  </si>
  <si>
    <t>2/17/2026 5:14:42 PM</t>
  </si>
  <si>
    <t>2/18/2026 7:55:21 AM</t>
  </si>
  <si>
    <t>2/18/2026 5:00:34 PM</t>
  </si>
  <si>
    <t>2/19/2026 7:54:53 AM</t>
  </si>
  <si>
    <t>2/19/2026 5:00:56 PM</t>
  </si>
  <si>
    <t>2/20/2026 7:49:55 AM</t>
  </si>
  <si>
    <t>2/20/2026 5:00:12 PM</t>
  </si>
  <si>
    <t>2/21/2026 7:57:20 AM</t>
  </si>
  <si>
    <t>2/21/2026 5:09:09 PM</t>
  </si>
  <si>
    <t>2/11/2026 7:32:32 AM</t>
  </si>
  <si>
    <t>2/11/2026 5:13:13 PM</t>
  </si>
  <si>
    <t>2/12/2026 8:00:30 AM</t>
  </si>
  <si>
    <t>2/12/2026 5:37:57 PM</t>
  </si>
  <si>
    <t>2/13/2026 7:44:41 AM</t>
  </si>
  <si>
    <t>2/13/2026 5:07:35 PM</t>
  </si>
  <si>
    <t>2/14/2026 7:46:32 AM</t>
  </si>
  <si>
    <t>2/14/2026 5:02:11 PM</t>
  </si>
  <si>
    <t>2/17/2026 9:05:27 AM</t>
  </si>
  <si>
    <t>2/17/2026 5:04:09 PM</t>
  </si>
  <si>
    <t>2/18/2026 7:54:01 AM</t>
  </si>
  <si>
    <t>2/18/2026 5:02:18 PM</t>
  </si>
  <si>
    <t>2/19/2026 7:48:42 AM</t>
  </si>
  <si>
    <t>2/19/2026 6:31:35 PM</t>
  </si>
  <si>
    <t>2/20/2026 7:47:04 AM</t>
  </si>
  <si>
    <t>2/20/2026 5:03:08 PM</t>
  </si>
  <si>
    <t>2/21/2026 7:48:35 AM</t>
  </si>
  <si>
    <t>2/21/2026 5:12:31 PM</t>
  </si>
  <si>
    <t>2/11/2026 5:01:20 PM</t>
  </si>
  <si>
    <t>2/11/2026 7:56:13 AM</t>
  </si>
  <si>
    <t>2/12/2026 2:52:46 AM</t>
  </si>
  <si>
    <t>2/12/2026 5:01:09 PM</t>
  </si>
  <si>
    <t>2/13/2026 7:46:39 AM</t>
  </si>
  <si>
    <t>2/13/2026 5:02:08 PM</t>
  </si>
  <si>
    <t>2/14/2026 7:48:45 AM</t>
  </si>
  <si>
    <t>2/14/2026 5:01:44 PM</t>
  </si>
  <si>
    <t>2/17/2026 7:37:54 AM</t>
  </si>
  <si>
    <t>2/17/2026 5:00:27 PM</t>
  </si>
  <si>
    <t>2/18/2026 7:47:59 AM</t>
  </si>
  <si>
    <t>2/18/2026 5:00:58 PM</t>
  </si>
  <si>
    <t>2/19/2026 7:53:08 AM</t>
  </si>
  <si>
    <t>2/19/2026 5:00:24 PM</t>
  </si>
  <si>
    <t>2/20/2026 7:40:44 AM</t>
  </si>
  <si>
    <t>2/20/2026 5:01:20 PM</t>
  </si>
  <si>
    <t>2/11/2026 7:12:06 AM</t>
  </si>
  <si>
    <t>2/11/2026 5:12:34 PM</t>
  </si>
  <si>
    <t>2/12/2026 7:29:23 AM</t>
  </si>
  <si>
    <t>2/12/2026 5:01:12 PM</t>
  </si>
  <si>
    <t>2/13/2026 7:44:47 AM</t>
  </si>
  <si>
    <t>2/13/2026 5:00:54 PM</t>
  </si>
  <si>
    <t>2/14/2026 7:46:26 AM</t>
  </si>
  <si>
    <t>2/14/2026 5:00:16 PM</t>
  </si>
  <si>
    <t>2/17/2026 7:13:16 AM</t>
  </si>
  <si>
    <t>2/17/2026 5:00:12 PM</t>
  </si>
  <si>
    <t>2/18/2026 7:41:03 AM</t>
  </si>
  <si>
    <t>2/18/2026 5:06:45 PM</t>
  </si>
  <si>
    <t>2/19/2026 7:28:56 AM</t>
  </si>
  <si>
    <t>2/19/2026 5:00:19 PM</t>
  </si>
  <si>
    <t>2/20/2026 7:47:43 AM</t>
  </si>
  <si>
    <t>2/20/2026 5:00:29 PM</t>
  </si>
  <si>
    <t>2/21/2026 7:28:10 AM</t>
  </si>
  <si>
    <t>2/21/2026 5:01:32 PM</t>
  </si>
  <si>
    <t>2/11/2026 7:45:37 AM</t>
  </si>
  <si>
    <t>2/11/2026 5:02:09 PM</t>
  </si>
  <si>
    <t>2/12/2026 7:49:52 AM</t>
  </si>
  <si>
    <t>2/12/2026 5:01:44 PM</t>
  </si>
  <si>
    <t>2/13/2026 7:44:25 AM</t>
  </si>
  <si>
    <t>2/13/2026 5:03:21 PM</t>
  </si>
  <si>
    <t>2/14/2026 7:50:16 AM</t>
  </si>
  <si>
    <t>2/14/2026 5:01:10 PM</t>
  </si>
  <si>
    <t>2/17/2026 7:37:31 AM</t>
  </si>
  <si>
    <t>2/17/2026 5:01:41 PM</t>
  </si>
  <si>
    <t>2/18/2026 7:47:00 AM</t>
  </si>
  <si>
    <t>2/18/2026 5:00:17 PM</t>
  </si>
  <si>
    <t>2/19/2026 1:35:43 AM</t>
  </si>
  <si>
    <t>OB</t>
  </si>
  <si>
    <t>2/12/2026 7:38:40 AM</t>
  </si>
  <si>
    <t>2/12/2026 5:01:14 PM</t>
  </si>
  <si>
    <t>2/13/2026 7:32:25 AM</t>
  </si>
  <si>
    <t>2/13/2026 5:00:57 PM</t>
  </si>
  <si>
    <t>2/14/2026 7:39:12 AM</t>
  </si>
  <si>
    <t>2/14/2026 5:00:31 PM</t>
  </si>
  <si>
    <t>2/17/2026 7:48:03 AM</t>
  </si>
  <si>
    <t>2/17/2026 5:00:17 PM</t>
  </si>
  <si>
    <t>2/18/2026 7:36:06 AM</t>
  </si>
  <si>
    <t>2/18/2026 5:00:43 PM</t>
  </si>
  <si>
    <t>2/19/2026 8:16:46 AM</t>
  </si>
  <si>
    <t>2/19/2026 5:00:46 PM</t>
  </si>
  <si>
    <t>2/20/2026 7:44:29 AM</t>
  </si>
  <si>
    <t>2/20/2026 5:00:38 PM</t>
  </si>
  <si>
    <t>2/21/2026 7:36:34 AM</t>
  </si>
  <si>
    <t>2/21/2026 5:00:54 PM</t>
  </si>
  <si>
    <t>2/11/2026 7:29:11 AM</t>
  </si>
  <si>
    <t>2/11/2026 5:54:01 PM</t>
  </si>
  <si>
    <t>2/12/2026 8:06:32 AM</t>
  </si>
  <si>
    <t>2/12/2026 5:55:29 PM</t>
  </si>
  <si>
    <t>2/13/2026 7:29:34 AM</t>
  </si>
  <si>
    <t>2/13/2026 5:48:36 PM</t>
  </si>
  <si>
    <t>2/14/2026 5:20:58 PM</t>
  </si>
  <si>
    <t>2/17/2026 7:53:36 AM</t>
  </si>
  <si>
    <t>2/17/2026 5:22:11 PM</t>
  </si>
  <si>
    <t>2/18/2026 7:43:35 AM</t>
  </si>
  <si>
    <t>2/18/2026 5:42:11 PM</t>
  </si>
  <si>
    <t>2/19/2026 7:41:06 AM</t>
  </si>
  <si>
    <t>2/19/2026 5:00:03 PM</t>
  </si>
  <si>
    <t>2/20/2026 7:23:41 AM</t>
  </si>
  <si>
    <t>2/20/2026 6:18:47 PM</t>
  </si>
  <si>
    <t>2/21/2026 7:51:46 AM</t>
  </si>
  <si>
    <t>2/21/2026 5:54:28 PM</t>
  </si>
  <si>
    <t>2/11/2026 7:51:16 AM</t>
  </si>
  <si>
    <t>2/11/2026 5:01:52 PM</t>
  </si>
  <si>
    <t>2/12/2026 7:54:36 AM</t>
  </si>
  <si>
    <t>2/12/2026 5:02:23 PM</t>
  </si>
  <si>
    <t>2/13/2026 7:47:27 AM</t>
  </si>
  <si>
    <t>2/13/2026 5:02:43 PM</t>
  </si>
  <si>
    <t>2/14/2026 7:47:05 AM</t>
  </si>
  <si>
    <t>2/14/2026 5:01:47 PM</t>
  </si>
  <si>
    <t>2/17/2026 7:47:41 AM</t>
  </si>
  <si>
    <t>2/17/2026 5:02:50 PM</t>
  </si>
  <si>
    <t>2/18/2026 7:50:04 AM</t>
  </si>
  <si>
    <t>2/18/2026 5:01:53 PM</t>
  </si>
  <si>
    <t>2/19/2026 7:44:33 AM</t>
  </si>
  <si>
    <t>2/19/2026 5:01:45 PM</t>
  </si>
  <si>
    <t>2/20/2026 7:48:15 AM</t>
  </si>
  <si>
    <t>2/20/2026 5:11:36 PM</t>
  </si>
  <si>
    <t>2/21/2026 7:52:11 AM</t>
  </si>
  <si>
    <t>2/21/2026 5:01:17 PM</t>
  </si>
  <si>
    <t>2/11/2026 7:48:17 AM</t>
  </si>
  <si>
    <t>2/11/2026 5:09:58 PM</t>
  </si>
  <si>
    <t>2/12/2026 8:06:19 AM</t>
  </si>
  <si>
    <t>2/12/2026 5:32:33 PM</t>
  </si>
  <si>
    <t>2/13/2026 7:57:54 AM</t>
  </si>
  <si>
    <t>2/13/2026 5:11:12 PM</t>
  </si>
  <si>
    <t>2/14/2026 8:06:22 AM</t>
  </si>
  <si>
    <t>2/14/2026 5:03:36 PM</t>
  </si>
  <si>
    <t>2/17/2026 7:51:30 AM</t>
  </si>
  <si>
    <t>2/17/2026 5:28:08 PM</t>
  </si>
  <si>
    <t>2/18/2026 7:38:20 AM</t>
  </si>
  <si>
    <t>2/18/2026 5:13:18 PM</t>
  </si>
  <si>
    <t>2/19/2026 7:53:27 AM</t>
  </si>
  <si>
    <t>2/19/2026 6:33:07 PM</t>
  </si>
  <si>
    <t>2/21/2026 7:18:15 AM</t>
  </si>
  <si>
    <t>2/21/2026 5:12:18 PM</t>
  </si>
  <si>
    <t>2/11/2026 7:37:40 AM</t>
  </si>
  <si>
    <t>2/11/2026 5:02:25 PM</t>
  </si>
  <si>
    <t>2/12/2026 7:40:33 AM</t>
  </si>
  <si>
    <t>2/12/2026 5:00:36 PM</t>
  </si>
  <si>
    <t>2/13/2026 7:50:37 AM</t>
  </si>
  <si>
    <t>2/13/2026 5:00:40 PM</t>
  </si>
  <si>
    <t>2/14/2026 7:50:55 AM</t>
  </si>
  <si>
    <t>2/14/2026 1:02:06 PM</t>
  </si>
  <si>
    <t>2/17/2026 7:32:14 AM</t>
  </si>
  <si>
    <t>2/17/2026 5:00:55 PM</t>
  </si>
  <si>
    <t>2/18/2026 7:40:21 AM</t>
  </si>
  <si>
    <t>2/18/2026 5:00:52 PM</t>
  </si>
  <si>
    <t>2/19/2026 7:44:09 AM</t>
  </si>
  <si>
    <t>2/19/2026 5:00:32 PM</t>
  </si>
  <si>
    <t>2/20/2026 7:52:25 AM</t>
  </si>
  <si>
    <t>2/20/2026 5:16:16 PM</t>
  </si>
  <si>
    <t>2/21/2026 7:47:46 AM</t>
  </si>
  <si>
    <t>2/21/2026 5:33:09 PM</t>
  </si>
  <si>
    <t>2/11/2026 7:51:44 AM</t>
  </si>
  <si>
    <t>2/11/2026 5:01:02 PM</t>
  </si>
  <si>
    <t>2/12/2026 8:00:25 AM</t>
  </si>
  <si>
    <t>2/12/2026 5:00:49 PM</t>
  </si>
  <si>
    <t>2/13/2026 7:44:16 AM</t>
  </si>
  <si>
    <t>2/13/2026 5:00:50 PM</t>
  </si>
  <si>
    <t>2/14/2026 7:54:06 AM</t>
  </si>
  <si>
    <t>2/14/2026 5:00:33 PM</t>
  </si>
  <si>
    <t>2/17/2026 7:35:31 AM</t>
  </si>
  <si>
    <t>2/17/2026 5:06:19 PM</t>
  </si>
  <si>
    <t>2/18/2026 7:42:46 AM</t>
  </si>
  <si>
    <t>2/18/2026 5:00:40 PM</t>
  </si>
  <si>
    <t>2/20/2026 7:44:14 AM</t>
  </si>
  <si>
    <t>2/20/2026 5:00:15 PM</t>
  </si>
  <si>
    <t>2/21/2026 7:51:32 AM</t>
  </si>
  <si>
    <t>2/21/2026 5:00:21 PM</t>
  </si>
  <si>
    <t>2/11/2026 7:55:51 AM</t>
  </si>
  <si>
    <t>2/11/2026 5:00:36 PM</t>
  </si>
  <si>
    <t>2/12/2026 7:55:37 AM</t>
  </si>
  <si>
    <t>2/12/2026 5:00:58 PM</t>
  </si>
  <si>
    <t>2/14/2026 8:08:37 AM</t>
  </si>
  <si>
    <t>2/14/2026 5:00:03 PM</t>
  </si>
  <si>
    <t>2/17/2026 4:31:49 AM</t>
  </si>
  <si>
    <t>2/17/2026 9:09:19 PM</t>
  </si>
  <si>
    <t>2/18/2026 7:33:47 AM</t>
  </si>
  <si>
    <t>2/18/2026 5:00:10 PM</t>
  </si>
  <si>
    <t>2/19/2026 7:38:40 AM</t>
  </si>
  <si>
    <t>2/19/2026 5:00:05 PM</t>
  </si>
  <si>
    <t>2/20/2026 3:28:02 AM</t>
  </si>
  <si>
    <t>2/20/2026 5:05:26 PM</t>
  </si>
  <si>
    <t>2/21/2026 7:33:27 AM</t>
  </si>
  <si>
    <t>2/21/2026 5:00:07 PM</t>
  </si>
  <si>
    <t>LEAVE CREDITS</t>
  </si>
  <si>
    <t>2/11/2026 8:05:05 AM</t>
  </si>
  <si>
    <t>2/11/2026 5:02:37 PM</t>
  </si>
  <si>
    <t>2/12/2026 7:52:49 AM</t>
  </si>
  <si>
    <t>2/13/2026 7:55:39 AM</t>
  </si>
  <si>
    <t>2/13/2026 5:01:01 PM</t>
  </si>
  <si>
    <t>2/14/2026 7:53:08 AM</t>
  </si>
  <si>
    <t>2/14/2026 5:02:56 PM</t>
  </si>
  <si>
    <t>2/17/2026 7:47:39 AM</t>
  </si>
  <si>
    <t>2/17/2026 5:02:37 PM</t>
  </si>
  <si>
    <t>2/18/2026 7:51:32 AM</t>
  </si>
  <si>
    <t>2/18/2026 5:01:33 PM</t>
  </si>
  <si>
    <t>2/19/2026 7:52:27 AM</t>
  </si>
  <si>
    <t>2/19/2026 5:01:43 PM</t>
  </si>
  <si>
    <t>2/20/2026 7:49:29 AM</t>
  </si>
  <si>
    <t>2/20/2026 5:02:18 PM</t>
  </si>
  <si>
    <t>2/21/2026 7:57:38 AM</t>
  </si>
  <si>
    <t>2/21/2026 5:03:04 PM</t>
  </si>
  <si>
    <t>2/12/2026 5:02:46 PM</t>
  </si>
  <si>
    <t>2/11/2026 7:52:15 AM</t>
  </si>
  <si>
    <t>2/11/2026 5:12:15 PM</t>
  </si>
  <si>
    <t>2/12/2026 7:54:22 AM</t>
  </si>
  <si>
    <t>2/12/2026 5:16:26 PM</t>
  </si>
  <si>
    <t>2/13/2026 8:01:29 AM</t>
  </si>
  <si>
    <t>2/13/2026 5:08:16 PM</t>
  </si>
  <si>
    <t>2/14/2026 8:14:31 AM</t>
  </si>
  <si>
    <t>2/14/2026 5:03:10 PM</t>
  </si>
  <si>
    <t>2/17/2026 7:54:38 AM</t>
  </si>
  <si>
    <t>2/17/2026 5:04:13 PM</t>
  </si>
  <si>
    <t>2/18/2026 8:00:46 AM</t>
  </si>
  <si>
    <t>2/18/2026 5:05:58 PM</t>
  </si>
  <si>
    <t>2/19/2026 7:52:33 AM</t>
  </si>
  <si>
    <t>2/19/2026 6:33:18 PM</t>
  </si>
  <si>
    <t>2/20/2026 7:57:41 AM</t>
  </si>
  <si>
    <t>2/20/2026 5:04:30 PM</t>
  </si>
  <si>
    <t>2/21/2026 7:58:34 AM</t>
  </si>
  <si>
    <t>2/21/2026 5:12:39 PM</t>
  </si>
  <si>
    <t>2/11/2026 8:04:28 AM</t>
  </si>
  <si>
    <t>2/11/2026 5:03:55 PM</t>
  </si>
  <si>
    <t>2/12/2026 7:55:41 AM</t>
  </si>
  <si>
    <t>2/12/2026 5:02:01 PM</t>
  </si>
  <si>
    <t>2/13/2026 7:39:19 AM</t>
  </si>
  <si>
    <t>2/13/2026 5:01:18 PM</t>
  </si>
  <si>
    <t>2/14/2026 7:46:02 AM</t>
  </si>
  <si>
    <t>2/14/2026 5:03:45 PM</t>
  </si>
  <si>
    <t>2/17/2026 7:40:11 AM</t>
  </si>
  <si>
    <t>2/17/2026 5:01:49 PM</t>
  </si>
  <si>
    <t>2/18/2026 7:39:56 AM</t>
  </si>
  <si>
    <t>2/18/2026 5:02:30 PM</t>
  </si>
  <si>
    <t>2/19/2026 7:38:26 AM</t>
  </si>
  <si>
    <t>2/19/2026 5:01:47 PM</t>
  </si>
  <si>
    <t>2/20/2026 7:39:47 AM</t>
  </si>
  <si>
    <t>2/20/2026 5:01:15 PM</t>
  </si>
  <si>
    <t>2/21/2026 7:32:26 AM</t>
  </si>
  <si>
    <t>2/21/2026 5:02:33 PM</t>
  </si>
  <si>
    <t>2/11/2026 7:40:23 AM</t>
  </si>
  <si>
    <t>2/11/2026 5:06:23 PM</t>
  </si>
  <si>
    <t>2/12/2026 7:40:55 AM</t>
  </si>
  <si>
    <t>2/12/2026 5:02:03 PM</t>
  </si>
  <si>
    <t>2/13/2026 7:39:12 AM</t>
  </si>
  <si>
    <t>2/13/2026 5:02:32 PM</t>
  </si>
  <si>
    <t>2/14/2026 7:57:23 AM</t>
  </si>
  <si>
    <t>2/14/2026 5:01:19 PM</t>
  </si>
  <si>
    <t>2/17/2026 7:40:22 AM</t>
  </si>
  <si>
    <t>2/17/2026 5:00:41 PM</t>
  </si>
  <si>
    <t>2/18/2026 7:40:07 AM</t>
  </si>
  <si>
    <t>2/18/2026 5:01:29 PM</t>
  </si>
  <si>
    <t>2/19/2026 7:38:31 AM</t>
  </si>
  <si>
    <t>2/19/2026 5:01:51 PM</t>
  </si>
  <si>
    <t>2/20/2026 7:39:56 AM</t>
  </si>
  <si>
    <t>2/20/2026 5:00:51 PM</t>
  </si>
  <si>
    <t>2/21/2026 7:32:24 AM</t>
  </si>
  <si>
    <t>2/21/2026 5:05:56 PM</t>
  </si>
  <si>
    <t>2/11/2026 7:21:40 AM</t>
  </si>
  <si>
    <t>2/11/2026 5:00:57 PM</t>
  </si>
  <si>
    <t>2/12/2026 7:40:47 AM</t>
  </si>
  <si>
    <t>2/12/2026 5:00:42 PM</t>
  </si>
  <si>
    <t>2/13/2026 7:37:45 AM</t>
  </si>
  <si>
    <t>2/13/2026 5:01:08 PM</t>
  </si>
  <si>
    <t>2/14/2026 7:35:20 AM</t>
  </si>
  <si>
    <t>2/14/2026 5:01:04 PM</t>
  </si>
  <si>
    <t>2/17/2026 7:19:31 AM</t>
  </si>
  <si>
    <t>2/17/2026 5:00:10 PM</t>
  </si>
  <si>
    <t>2/18/2026 7:18:07 AM</t>
  </si>
  <si>
    <t>2/18/2026 5:00:32 PM</t>
  </si>
  <si>
    <t>2/19/2026 7:47:16 AM</t>
  </si>
  <si>
    <t>2/19/2026 5:00:28 PM</t>
  </si>
  <si>
    <t>2/20/2026 7:45:02 AM</t>
  </si>
  <si>
    <t>2/20/2026 5:00:25 PM</t>
  </si>
  <si>
    <t>2/21/2026 7:36:10 AM</t>
  </si>
  <si>
    <t>2/21/2026 5:01:12 PM</t>
  </si>
  <si>
    <t>2/11/2026 7:39:33 AM</t>
  </si>
  <si>
    <t>2/11/2026 5:03:34 PM</t>
  </si>
  <si>
    <t>2/12/2026 7:41:55 AM</t>
  </si>
  <si>
    <t>2/12/2026 5:05:20 PM</t>
  </si>
  <si>
    <t>2/13/2026 5:04:46 PM</t>
  </si>
  <si>
    <t>2/14/2026 7:36:55 AM</t>
  </si>
  <si>
    <t>2/14/2026 5:09:03 PM</t>
  </si>
  <si>
    <t>2/17/2026 7:29:26 AM</t>
  </si>
  <si>
    <t>2/17/2026 5:03:25 PM</t>
  </si>
  <si>
    <t>2/18/2026 7:33:33 AM</t>
  </si>
  <si>
    <t>2/18/2026 5:07:47 PM</t>
  </si>
  <si>
    <t>2/19/2026 7:37:37 AM</t>
  </si>
  <si>
    <t>2/19/2026 5:01:57 PM</t>
  </si>
  <si>
    <t>2/20/2026 7:34:16 AM</t>
  </si>
  <si>
    <t>2/20/2026 7:02:23 PM</t>
  </si>
  <si>
    <t>2/21/2026 7:40:16 AM</t>
  </si>
  <si>
    <t>2/21/2026 5:20:33 PM</t>
  </si>
  <si>
    <t>2/11/2026 7:47:56 AM</t>
  </si>
  <si>
    <t>2/11/2026 5:02:44 PM</t>
  </si>
  <si>
    <t>2/12/2026 7:48:47 AM</t>
  </si>
  <si>
    <t>2/12/2026 5:01:40 PM</t>
  </si>
  <si>
    <t>2/13/2026 7:46:20 AM</t>
  </si>
  <si>
    <t>2/13/2026 5:01:40 PM</t>
  </si>
  <si>
    <t>2/14/2026 7:50:04 AM</t>
  </si>
  <si>
    <t>2/14/2026 5:00:18 PM</t>
  </si>
  <si>
    <t>2/17/2026 7:47:13 AM</t>
  </si>
  <si>
    <t>2/17/2026 5:00:45 PM</t>
  </si>
  <si>
    <t>2/18/2026 7:49:23 AM</t>
  </si>
  <si>
    <t>2/18/2026 5:00:28 PM</t>
  </si>
  <si>
    <t>2/19/2026 7:49:00 AM</t>
  </si>
  <si>
    <t>2/19/2026 5:01:12 PM</t>
  </si>
  <si>
    <t>2/20/2026 7:47:35 AM</t>
  </si>
  <si>
    <t>2/20/2026 5:00:27 PM</t>
  </si>
  <si>
    <t>2/21/2026 7:49:24 AM</t>
  </si>
  <si>
    <t>2/21/2026 5:01:25 PM</t>
  </si>
  <si>
    <t>2/11/2026 7:37:16 AM</t>
  </si>
  <si>
    <t>2/11/2026 5:03:08 PM</t>
  </si>
  <si>
    <t>2/12/2026 7:39:14 AM</t>
  </si>
  <si>
    <t>2/12/2026 5:01:46 PM</t>
  </si>
  <si>
    <t>2/13/2026 7:35:21 AM</t>
  </si>
  <si>
    <t>2/13/2026 5:04:42 PM</t>
  </si>
  <si>
    <t>2/14/2026 5:04:36 PM</t>
  </si>
  <si>
    <t>2/17/2026 7:38:45 AM</t>
  </si>
  <si>
    <t>2/17/2026 5:02:22 PM</t>
  </si>
  <si>
    <t>2/18/2026 5:04:46 PM</t>
  </si>
  <si>
    <t>2/19/2026 7:42:13 AM</t>
  </si>
  <si>
    <t>2/19/2026 5:00:58 PM</t>
  </si>
  <si>
    <t>2/20/2026 7:40:41 AM</t>
  </si>
  <si>
    <t>2/20/2026 5:01:24 PM</t>
  </si>
  <si>
    <t>2/21/2026 7:39:12 AM</t>
  </si>
  <si>
    <t>2/21/2026 5:03:19 PM</t>
  </si>
  <si>
    <t>2/11/2026 7:37:20 AM</t>
  </si>
  <si>
    <t>2/11/2026 5:23:35 PM</t>
  </si>
  <si>
    <t>2/12/2026 7:33:23 AM</t>
  </si>
  <si>
    <t>2/12/2026 5:04:15 PM</t>
  </si>
  <si>
    <t>2/13/2026 7:39:15 AM</t>
  </si>
  <si>
    <t>2/13/2026 5:26:26 PM</t>
  </si>
  <si>
    <t>2/14/2026 7:22:40 AM</t>
  </si>
  <si>
    <t>2/14/2026 5:38:25 PM</t>
  </si>
  <si>
    <t>2/17/2026 7:30:18 AM</t>
  </si>
  <si>
    <t>2/17/2026 5:19:39 PM</t>
  </si>
  <si>
    <t>2/18/2026 7:35:22 AM</t>
  </si>
  <si>
    <t>2/18/2026 5:37:56 PM</t>
  </si>
  <si>
    <t>2/11/2026 7:44:42 AM</t>
  </si>
  <si>
    <t>2/11/2026 5:00:31 PM</t>
  </si>
  <si>
    <t>2/12/2026 8:00:50 AM</t>
  </si>
  <si>
    <t>2/12/2026 5:00:02 PM</t>
  </si>
  <si>
    <t>2/13/2026 7:28:55 AM</t>
  </si>
  <si>
    <t>2/13/2026 5:00:15 PM</t>
  </si>
  <si>
    <t>2/14/2026 7:31:52 AM</t>
  </si>
  <si>
    <t>2/14/2026 5:00:13 PM</t>
  </si>
  <si>
    <t>2/17/2026 7:20:59 AM</t>
  </si>
  <si>
    <t>2/17/2026 5:00:05 PM</t>
  </si>
  <si>
    <t>2/18/2026 7:45:12 AM</t>
  </si>
  <si>
    <t>2/18/2026 5:00:24 PM</t>
  </si>
  <si>
    <t>2/19/2026 1:35:45 AM</t>
  </si>
  <si>
    <t>2/11/2026 7:57:20 AM</t>
  </si>
  <si>
    <t>2/11/2026 5:12:05 PM</t>
  </si>
  <si>
    <t>2/12/2026 7:51:29 AM</t>
  </si>
  <si>
    <t>2/12/2026 5:18:54 PM</t>
  </si>
  <si>
    <t>2/13/2026 7:57:51 AM</t>
  </si>
  <si>
    <t>2/13/2026 5:11:20 PM</t>
  </si>
  <si>
    <t>2/14/2026 7:47:48 AM</t>
  </si>
  <si>
    <t>2/14/2026 5:10:35 PM</t>
  </si>
  <si>
    <t>2/17/2026 7:41:47 AM</t>
  </si>
  <si>
    <t>2/17/2026 5:19:28 PM</t>
  </si>
  <si>
    <t>2/18/2026 7:42:42 AM</t>
  </si>
  <si>
    <t>2/18/2026 5:13:12 PM</t>
  </si>
  <si>
    <t>2/19/2026 7:41:08 AM</t>
  </si>
  <si>
    <t>2/19/2026 5:45:57 PM</t>
  </si>
  <si>
    <t>2/20/2026 7:47:16 AM</t>
  </si>
  <si>
    <t>2/20/2026 5:04:07 PM</t>
  </si>
  <si>
    <t>2/21/2026 7:44:08 AM</t>
  </si>
  <si>
    <t>2/21/2026 12:02:23 PM</t>
  </si>
  <si>
    <t>2/11/2026 7:43:27 AM</t>
  </si>
  <si>
    <t>2/11/2026 5:01:14 PM</t>
  </si>
  <si>
    <t>2/12/2026 7:54:31 AM</t>
  </si>
  <si>
    <t>2/12/2026 5:01:53 PM</t>
  </si>
  <si>
    <t>2/13/2026 7:59:57 AM</t>
  </si>
  <si>
    <t>2/13/2026 5:02:19 PM</t>
  </si>
  <si>
    <t>2/14/2026 6:28:58 AM</t>
  </si>
  <si>
    <t>2/14/2026 5:03:16 PM</t>
  </si>
  <si>
    <t>2/17/2026 7:56:58 AM</t>
  </si>
  <si>
    <t>2/17/2026 5:01:17 PM</t>
  </si>
  <si>
    <t>2/18/2026 7:45:06 AM</t>
  </si>
  <si>
    <t>2/18/2026 5:11:53 PM</t>
  </si>
  <si>
    <t>2/19/2026 7:50:14 AM</t>
  </si>
  <si>
    <t>2/19/2026 5:00:21 PM</t>
  </si>
  <si>
    <t>2/20/2026 7:58:11 AM</t>
  </si>
  <si>
    <t>2/20/2026 5:01:40 PM</t>
  </si>
  <si>
    <t>2/21/2026 8:00:42 AM</t>
  </si>
  <si>
    <t>2/21/2026 5:04:58 PM</t>
  </si>
  <si>
    <t>2/11/2026 7:44:45 AM</t>
  </si>
  <si>
    <t>2/11/2026 5:01:07 PM</t>
  </si>
  <si>
    <t>2/12/2026 7:46:47 AM</t>
  </si>
  <si>
    <t>2/12/2026 5:01:24 PM</t>
  </si>
  <si>
    <t>2/13/2026 7:49:34 AM</t>
  </si>
  <si>
    <t>2/13/2026 5:01:16 PM</t>
  </si>
  <si>
    <t>2/14/2026 7:53:27 AM</t>
  </si>
  <si>
    <t>2/14/2026 5:00:41 PM</t>
  </si>
  <si>
    <t>2/17/2026 7:54:41 AM</t>
  </si>
  <si>
    <t>2/17/2026 5:01:59 PM</t>
  </si>
  <si>
    <t>2/18/2026 7:40:26 AM</t>
  </si>
  <si>
    <t>2/18/2026 5:01:41 PM</t>
  </si>
  <si>
    <t>2/19/2026 7:46:38 AM</t>
  </si>
  <si>
    <t>2/19/2026 5:00:50 PM</t>
  </si>
  <si>
    <t>2/20/2026 8:01:25 AM</t>
  </si>
  <si>
    <t>2/21/2026 7:43:46 AM</t>
  </si>
  <si>
    <t>2/21/2026 5:02:04 PM</t>
  </si>
  <si>
    <t>2/11/2026 7:45:57 AM</t>
  </si>
  <si>
    <t>2/11/2026 5:01:32 PM</t>
  </si>
  <si>
    <t>2/12/2026 5:01:27 PM</t>
  </si>
  <si>
    <t>2/13/2026 7:44:35 AM</t>
  </si>
  <si>
    <t>2/13/2026 5:00:45 PM</t>
  </si>
  <si>
    <t>2/14/2026 7:49:38 AM</t>
  </si>
  <si>
    <t>2/14/2026 5:01:50 PM</t>
  </si>
  <si>
    <t>2/17/2026 7:37:50 AM</t>
  </si>
  <si>
    <t>2/17/2026 5:01:34 PM</t>
  </si>
  <si>
    <t>2/18/2026 7:46:57 AM</t>
  </si>
  <si>
    <t>2/18/2026 5:01:10 PM</t>
  </si>
  <si>
    <t>2/19/2026 7:38:45 AM</t>
  </si>
  <si>
    <t>2/19/2026 5:00:39 PM</t>
  </si>
  <si>
    <t>2/20/2026 7:49:24 AM</t>
  </si>
  <si>
    <t>2/20/2026 5:00:22 PM</t>
  </si>
  <si>
    <t>2/21/2026 7:38:19 AM</t>
  </si>
  <si>
    <t>2/21/2026 5:02:30 PM</t>
  </si>
  <si>
    <t>2/11/2026 7:43:02 AM</t>
  </si>
  <si>
    <t>2/11/2026 5:00:33 PM</t>
  </si>
  <si>
    <t>2/12/2026 7:52:52 AM</t>
  </si>
  <si>
    <t>2/12/2026 5:00:47 PM</t>
  </si>
  <si>
    <t>2/13/2026 7:56:02 AM</t>
  </si>
  <si>
    <t>2/13/2026 5:00:27 PM</t>
  </si>
  <si>
    <t>2/14/2026 7:47:32 AM</t>
  </si>
  <si>
    <t>2/14/2026 5:00:20 PM</t>
  </si>
  <si>
    <t>2/17/2026 5:00:58 PM</t>
  </si>
  <si>
    <t>2/18/2026 7:56:46 AM</t>
  </si>
  <si>
    <t>2/18/2026 5:00:53 PM</t>
  </si>
  <si>
    <t>2/11/2026 7:16:43 AM</t>
  </si>
  <si>
    <t>2/11/2026 5:13:16 PM</t>
  </si>
  <si>
    <t>2/12/2026 8:19:10 AM</t>
  </si>
  <si>
    <t>2/12/2026 5:09:27 PM</t>
  </si>
  <si>
    <t>2/13/2026 8:00:11 AM</t>
  </si>
  <si>
    <t>2/13/2026 5:06:40 PM</t>
  </si>
  <si>
    <t>2/14/2026 7:51:17 AM</t>
  </si>
  <si>
    <t>2/14/2026 5:02:15 PM</t>
  </si>
  <si>
    <t>2/17/2026 7:46:41 AM</t>
  </si>
  <si>
    <t>2/17/2026 5:04:17 PM</t>
  </si>
  <si>
    <t>2/18/2026 7:06:58 AM</t>
  </si>
  <si>
    <t>2/18/2026 5:02:22 PM</t>
  </si>
  <si>
    <t>2/20/2026 7:46:10 AM</t>
  </si>
  <si>
    <t>2/20/2026 5:03:13 PM</t>
  </si>
  <si>
    <t>2/21/2026 7:44:19 AM</t>
  </si>
  <si>
    <t>2/21/2026 5:15:10 PM</t>
  </si>
  <si>
    <t>2/11/2026 7:40:20 AM</t>
  </si>
  <si>
    <t>2/11/2026 5:06:26 PM</t>
  </si>
  <si>
    <t>2/12/2026 7:40:43 AM</t>
  </si>
  <si>
    <t>2/12/2026 5:01:22 PM</t>
  </si>
  <si>
    <t>2/13/2026 7:39:09 AM</t>
  </si>
  <si>
    <t>2/13/2026 5:02:12 PM</t>
  </si>
  <si>
    <t>2/14/2026 7:45:05 AM</t>
  </si>
  <si>
    <t>2/14/2026 5:01:42 PM</t>
  </si>
  <si>
    <t>2/17/2026 7:40:08 AM</t>
  </si>
  <si>
    <t>2/17/2026 5:01:06 PM</t>
  </si>
  <si>
    <t>2/18/2026 7:39:51 AM</t>
  </si>
  <si>
    <t>2/18/2026 5:01:13 PM</t>
  </si>
  <si>
    <t>2/19/2026 7:38:23 AM</t>
  </si>
  <si>
    <t>2/19/2026 5:00:14 PM</t>
  </si>
  <si>
    <t>2/20/2026 7:39:51 AM</t>
  </si>
  <si>
    <t>2/20/2026 4:30:03 PM</t>
  </si>
  <si>
    <t>2/21/2026 11:51:34 AM</t>
  </si>
  <si>
    <t>2/21/2026 5:02:25 PM</t>
  </si>
  <si>
    <t>2/11/2026 7:37:29 AM</t>
  </si>
  <si>
    <t>2/11/2026 5:08:52 PM</t>
  </si>
  <si>
    <t>2/12/2026 7:40:18 AM</t>
  </si>
  <si>
    <t>2/12/2026 5:00:31 PM</t>
  </si>
  <si>
    <t>2/13/2026 7:50:32 AM</t>
  </si>
  <si>
    <t>2/13/2026 5:00:13 PM</t>
  </si>
  <si>
    <t>2/14/2026 7:50:51 AM</t>
  </si>
  <si>
    <t>2/14/2026 5:00:58 PM</t>
  </si>
  <si>
    <t>2/17/2026 7:31:50 AM</t>
  </si>
  <si>
    <t>2/17/2026 5:00:37 PM</t>
  </si>
  <si>
    <t>2/18/2026 7:40:01 AM</t>
  </si>
  <si>
    <t>2/18/2026 5:00:06 PM</t>
  </si>
  <si>
    <t>2/19/2026 7:44:24 AM</t>
  </si>
  <si>
    <t>2/19/2026 5:00:11 PM</t>
  </si>
  <si>
    <t>2/20/2026 7:52:19 AM</t>
  </si>
  <si>
    <t>2/20/2026 5:32:43 PM</t>
  </si>
  <si>
    <t>2/21/2026 7:48:13 AM</t>
  </si>
  <si>
    <t>2/21/2026 5:27:38 PM</t>
  </si>
  <si>
    <t>2/11/2026 7:14:32 AM</t>
  </si>
  <si>
    <t>2/11/2026 5:21:09 PM</t>
  </si>
  <si>
    <t>2/12/2026 6:57:48 AM</t>
  </si>
  <si>
    <t>2/12/2026 5:09:36 PM</t>
  </si>
  <si>
    <t>2/13/2026 7:16:06 AM</t>
  </si>
  <si>
    <t>2/13/2026 5:05:16 PM</t>
  </si>
  <si>
    <t>2/14/2026 6:45:26 AM</t>
  </si>
  <si>
    <t>2/14/2026 12:01:07 PM</t>
  </si>
  <si>
    <t>2/17/2026 6:21:54 AM</t>
  </si>
  <si>
    <t>2/17/2026 5:20:27 PM</t>
  </si>
  <si>
    <t>2/18/2026 6:55:20 AM</t>
  </si>
  <si>
    <t>2/18/2026 5:15:28 PM</t>
  </si>
  <si>
    <t>2/19/2026 7:03:10 AM</t>
  </si>
  <si>
    <t>2/19/2026 5:15:18 PM</t>
  </si>
  <si>
    <t>2/20/2026 6:52:46 AM</t>
  </si>
  <si>
    <t>2/20/2026 5:56:45 PM</t>
  </si>
  <si>
    <t>2/21/2026 6:53:45 AM</t>
  </si>
  <si>
    <t>2/21/2026 5:10:08 PM</t>
  </si>
  <si>
    <t>UNDERTIME</t>
  </si>
  <si>
    <t>OT</t>
  </si>
  <si>
    <t>AURE, JANREY C.</t>
  </si>
  <si>
    <t>2/17/2026 7:39:40 AM</t>
  </si>
  <si>
    <t>2/17/2026 5:00:24 PM</t>
  </si>
  <si>
    <t>2/18/2026 7:41:19 AM</t>
  </si>
  <si>
    <t>2/18/2026 5:03:30 PM</t>
  </si>
  <si>
    <t>2/19/2026 7:38:36 AM</t>
  </si>
  <si>
    <t>2/19/2026 5:00:34 PM</t>
  </si>
  <si>
    <t>2/20/2026 7:34:20 AM</t>
  </si>
  <si>
    <t>2/20/2026 5:00:36 PM</t>
  </si>
  <si>
    <t>2/21/2026 7:43:01 AM</t>
  </si>
  <si>
    <t>2/21/2026 5:01:22 PM</t>
  </si>
  <si>
    <t>2/23/2026 7:38:27 AM</t>
  </si>
  <si>
    <t>2/23/2026 5:00:57 PM</t>
  </si>
  <si>
    <t>2/24/2026 7:42:54 AM</t>
  </si>
  <si>
    <t>2/24/2026 5:00:26 PM</t>
  </si>
  <si>
    <t>2/25/2026 7:41:16 AM</t>
  </si>
  <si>
    <t>2/25/2026 5:00:11 PM</t>
  </si>
  <si>
    <t>2/26/2026 7:35:20 AM</t>
  </si>
  <si>
    <t>2/26/2026 5:00:40 PM</t>
  </si>
  <si>
    <t>2/27/2026 7:33:05 AM</t>
  </si>
  <si>
    <t>2/27/2026 5:00:52 PM</t>
  </si>
  <si>
    <t>2/28/2026 5:05:31 PM</t>
  </si>
  <si>
    <t>DEPARTMENT</t>
  </si>
  <si>
    <t>AFTERSALES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</si>
</sst>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409]h:mm:ss\ AM/PM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</font>
    <font>
      <b/>
      <sz val="10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3">
    <xf numFmtId="0" fontId="0" fillId="0" borderId="0"/>
    <xf numFmtId="0" fontId="3" fillId="0" borderId="0"/>
    <xf numFmtId="0" fontId="5" fillId="0" borderId="0"/>
    <xf numFmtId="0" fontId="6" fillId="0" borderId="0"/>
    <xf numFmtId="0" fontId="7" fillId="0" borderId="0"/>
    <xf numFmtId="0" fontId="8" fillId="0" borderId="0"/>
    <xf numFmtId="0" fontId="9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1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3" fillId="0" borderId="0" xfId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4" fontId="1" fillId="2" borderId="11" xfId="0" applyNumberFormat="1" applyFont="1" applyFill="1" applyBorder="1" applyAlignment="1">
      <alignment horizontal="center"/>
    </xf>
    <xf numFmtId="14" fontId="3" fillId="0" borderId="0" xfId="1" applyNumberFormat="1"/>
    <xf numFmtId="14" fontId="0" fillId="0" borderId="0" xfId="0" applyNumberFormat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0" fillId="0" borderId="7" xfId="0" applyBorder="1"/>
    <xf numFmtId="0" fontId="0" fillId="0" borderId="8" xfId="0" applyBorder="1"/>
    <xf numFmtId="0" fontId="1" fillId="0" borderId="5" xfId="0" applyFont="1" applyBorder="1" applyAlignment="1">
      <alignment horizontal="center"/>
    </xf>
    <xf numFmtId="164" fontId="4" fillId="0" borderId="0" xfId="0" applyNumberFormat="1" applyFont="1" applyAlignment="1">
      <alignment horizontal="center" vertical="top" wrapText="1"/>
    </xf>
    <xf numFmtId="0" fontId="10" fillId="0" borderId="0" xfId="11"/>
    <xf numFmtId="164" fontId="0" fillId="0" borderId="0" xfId="0" applyNumberFormat="1"/>
    <xf numFmtId="0" fontId="1" fillId="2" borderId="13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0" fontId="0" fillId="0" borderId="1" xfId="0" applyBorder="1"/>
    <xf numFmtId="165" fontId="1" fillId="0" borderId="6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4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left"/>
    </xf>
    <xf numFmtId="164" fontId="4" fillId="0" borderId="0" xfId="0" quotePrefix="1" applyNumberFormat="1" applyFont="1" applyAlignment="1">
      <alignment horizontal="center" vertical="top" wrapText="1"/>
    </xf>
    <xf numFmtId="0" fontId="3" fillId="0" borderId="4" xfId="1" applyBorder="1"/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0" borderId="15" xfId="0" applyBorder="1"/>
    <xf numFmtId="0" fontId="0" fillId="0" borderId="14" xfId="0" applyBorder="1"/>
    <xf numFmtId="0" fontId="11" fillId="0" borderId="0" xfId="12"/>
    <xf numFmtId="164" fontId="12" fillId="0" borderId="0" xfId="0" applyNumberFormat="1" applyFont="1" applyAlignment="1">
      <alignment horizontal="center" vertical="top" wrapText="1"/>
    </xf>
    <xf numFmtId="22" fontId="3" fillId="0" borderId="0" xfId="1" applyNumberFormat="1"/>
    <xf numFmtId="22" fontId="11" fillId="0" borderId="0" xfId="12" applyNumberFormat="1"/>
    <xf numFmtId="0" fontId="0" fillId="0" borderId="15" xfId="0" applyBorder="1" applyAlignment="1">
      <alignment horizontal="center"/>
    </xf>
    <xf numFmtId="0" fontId="3" fillId="0" borderId="14" xfId="1" applyBorder="1"/>
    <xf numFmtId="14" fontId="0" fillId="0" borderId="14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0" fontId="1" fillId="0" borderId="18" xfId="0" applyFont="1" applyBorder="1" applyAlignment="1">
      <alignment horizontal="center"/>
    </xf>
    <xf numFmtId="14" fontId="3" fillId="0" borderId="4" xfId="1" applyNumberFormat="1" applyBorder="1"/>
    <xf numFmtId="165" fontId="0" fillId="0" borderId="4" xfId="0" applyNumberFormat="1" applyBorder="1" applyAlignment="1">
      <alignment horizontal="center"/>
    </xf>
    <xf numFmtId="164" fontId="1" fillId="2" borderId="11" xfId="0" applyNumberFormat="1" applyFont="1" applyFill="1" applyBorder="1" applyAlignment="1">
      <alignment horizontal="center"/>
    </xf>
  </cellXfs>
  <cellStyles count="13">
    <cellStyle name="Normal" xfId="0" builtinId="0"/>
    <cellStyle name="Normal 2" xfId="1" xr:uid="{ED4A867C-6610-4D09-B8B6-717CA5899E9F}"/>
    <cellStyle name="Normal 3" xfId="2" xr:uid="{9EB486EC-98EE-4695-8BEF-56700646F41E}"/>
    <cellStyle name="Normal 3 2" xfId="8" xr:uid="{9BD4B3CA-A48D-4E6A-AB99-F5951659523B}"/>
    <cellStyle name="Normal 4" xfId="3" xr:uid="{20E37502-365C-4A5D-AF38-80CDDE9441BC}"/>
    <cellStyle name="Normal 4 2" xfId="9" xr:uid="{46AE5AA8-DC6F-4D27-933C-90FC9D99AD82}"/>
    <cellStyle name="Normal 5" xfId="4" xr:uid="{211F8DD2-F67E-4639-9EFB-BFB4F4C52C09}"/>
    <cellStyle name="Normal 5 2" xfId="10" xr:uid="{A00B12A7-17E9-4EB0-908C-AFE3C68CA260}"/>
    <cellStyle name="Normal 6" xfId="5" xr:uid="{C94E5578-5A37-4D7D-8D67-36B85384BE67}"/>
    <cellStyle name="Normal 6 2" xfId="11" xr:uid="{94D9C7E4-11AE-472F-870D-CD442CEA5144}"/>
    <cellStyle name="Normal 7" xfId="6" xr:uid="{1C47BF30-84C1-4F4A-A29C-425D7D068798}"/>
    <cellStyle name="Normal 8" xfId="7" xr:uid="{D8F97749-00F3-4676-AF89-62255DF655F6}"/>
    <cellStyle name="Normal 9" xfId="12" xr:uid="{56420633-8C20-4D0F-9C69-62A998A143A0}"/>
  </cellStyles>
  <dxfs count="1275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rgb="FFFCA302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A568D2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F995CE"/>
      <color rgb="FFFFCCCC"/>
      <color rgb="FFFF9999"/>
      <color rgb="FFFF9900"/>
      <color rgb="FFA568D2"/>
      <color rgb="FFFF5050"/>
      <color rgb="FFFCA3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81BD-6B23-4EB7-89A4-DF2A5A473981}">
  <dimension ref="A1:L26"/>
  <sheetViews>
    <sheetView zoomScaleNormal="100" zoomScaleSheetLayoutView="93" workbookViewId="0">
      <selection activeCell="M8" sqref="M8"/>
    </sheetView>
  </sheetViews>
  <sheetFormatPr defaultColWidth="8.85546875" defaultRowHeight="15" x14ac:dyDescent="0.25"/>
  <cols>
    <col min="1" max="1" width="13.28515625" style="1" bestFit="1" customWidth="1"/>
    <col min="2" max="2" width="22.140625" style="1" bestFit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32"/>
      <c r="B2" s="31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12</v>
      </c>
      <c r="B3" s="7" t="s">
        <v>11</v>
      </c>
      <c r="C3" s="47" t="s">
        <v>112</v>
      </c>
      <c r="D3" s="47" t="s">
        <v>113</v>
      </c>
      <c r="E3" s="33">
        <v>46064</v>
      </c>
      <c r="F3" s="27">
        <f>C3-E3</f>
        <v>0.32766203703795327</v>
      </c>
      <c r="G3" s="27"/>
      <c r="H3" s="27"/>
      <c r="I3" s="27">
        <f t="shared" ref="I3:I12" si="0">D3-E3</f>
        <v>0.72305555555794854</v>
      </c>
      <c r="J3" s="8"/>
    </row>
    <row r="4" spans="1:12" x14ac:dyDescent="0.25">
      <c r="A4" s="6" t="s">
        <v>12</v>
      </c>
      <c r="B4" s="7" t="s">
        <v>11</v>
      </c>
      <c r="C4" s="47" t="s">
        <v>114</v>
      </c>
      <c r="D4" s="47" t="s">
        <v>115</v>
      </c>
      <c r="E4" s="33">
        <v>46065</v>
      </c>
      <c r="F4" s="27">
        <f t="shared" ref="F4:F6" si="1">C4-E4</f>
        <v>0.32145833333197515</v>
      </c>
      <c r="G4" s="27"/>
      <c r="H4" s="27"/>
      <c r="I4" s="27">
        <f t="shared" si="0"/>
        <v>0.73335648148349719</v>
      </c>
      <c r="J4" s="8"/>
    </row>
    <row r="5" spans="1:12" x14ac:dyDescent="0.25">
      <c r="A5" s="6" t="s">
        <v>12</v>
      </c>
      <c r="B5" s="7" t="s">
        <v>11</v>
      </c>
      <c r="C5" s="47" t="s">
        <v>116</v>
      </c>
      <c r="D5" s="47" t="s">
        <v>117</v>
      </c>
      <c r="E5" s="33">
        <v>46066</v>
      </c>
      <c r="F5" s="27">
        <f t="shared" si="1"/>
        <v>0.32174768518598285</v>
      </c>
      <c r="G5" s="27"/>
      <c r="H5" s="27"/>
      <c r="I5" s="27">
        <f t="shared" si="0"/>
        <v>0.72374999999738066</v>
      </c>
      <c r="J5" s="8"/>
      <c r="K5" s="3" t="s">
        <v>6</v>
      </c>
      <c r="L5" s="4">
        <v>0</v>
      </c>
    </row>
    <row r="6" spans="1:12" x14ac:dyDescent="0.25">
      <c r="A6" s="6" t="s">
        <v>12</v>
      </c>
      <c r="B6" s="7" t="s">
        <v>11</v>
      </c>
      <c r="C6" s="47" t="s">
        <v>118</v>
      </c>
      <c r="D6" s="47" t="s">
        <v>119</v>
      </c>
      <c r="E6" s="33">
        <v>46067</v>
      </c>
      <c r="F6" s="27">
        <f t="shared" si="1"/>
        <v>0.3267129629603005</v>
      </c>
      <c r="G6" s="27"/>
      <c r="H6" s="27"/>
      <c r="I6" s="27">
        <f t="shared" si="0"/>
        <v>0.713414351848769</v>
      </c>
      <c r="J6" s="8"/>
      <c r="K6" s="3" t="s">
        <v>7</v>
      </c>
      <c r="L6" s="4">
        <v>0</v>
      </c>
    </row>
    <row r="7" spans="1:12" x14ac:dyDescent="0.25">
      <c r="A7" s="6" t="s">
        <v>12</v>
      </c>
      <c r="B7" s="7" t="s">
        <v>11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12</v>
      </c>
      <c r="B8" s="7" t="s">
        <v>11</v>
      </c>
      <c r="C8" s="47" t="s">
        <v>120</v>
      </c>
      <c r="D8" s="47" t="s">
        <v>121</v>
      </c>
      <c r="E8" s="33">
        <v>46069</v>
      </c>
      <c r="F8" s="27">
        <f t="shared" ref="F8:F12" si="2">C8-E8</f>
        <v>0.33136574074160308</v>
      </c>
      <c r="G8" s="28"/>
      <c r="H8" s="28"/>
      <c r="I8" s="27">
        <f t="shared" si="0"/>
        <v>0.71537037037342088</v>
      </c>
      <c r="J8" s="8"/>
      <c r="K8" s="3" t="s">
        <v>9</v>
      </c>
      <c r="L8" s="4">
        <v>189</v>
      </c>
    </row>
    <row r="9" spans="1:12" x14ac:dyDescent="0.25">
      <c r="A9" s="6" t="s">
        <v>12</v>
      </c>
      <c r="B9" s="7" t="s">
        <v>11</v>
      </c>
      <c r="C9" s="28"/>
      <c r="D9" s="28"/>
      <c r="E9" s="33">
        <v>46070</v>
      </c>
      <c r="F9" s="27"/>
      <c r="G9" s="27"/>
      <c r="H9" s="27"/>
      <c r="I9" s="27"/>
      <c r="J9" s="8" t="s">
        <v>111</v>
      </c>
      <c r="K9" s="3" t="s">
        <v>10</v>
      </c>
      <c r="L9" s="4">
        <v>0</v>
      </c>
    </row>
    <row r="10" spans="1:12" x14ac:dyDescent="0.25">
      <c r="A10" s="6" t="s">
        <v>12</v>
      </c>
      <c r="B10" s="7" t="s">
        <v>11</v>
      </c>
      <c r="C10" s="47" t="s">
        <v>122</v>
      </c>
      <c r="D10" s="47" t="s">
        <v>123</v>
      </c>
      <c r="E10" s="33">
        <v>46071</v>
      </c>
      <c r="F10" s="27">
        <f t="shared" si="2"/>
        <v>0.31625000000349246</v>
      </c>
      <c r="G10" s="27"/>
      <c r="H10" s="27"/>
      <c r="I10" s="27">
        <f t="shared" si="0"/>
        <v>0.72313657407357823</v>
      </c>
      <c r="J10" s="8"/>
    </row>
    <row r="11" spans="1:12" x14ac:dyDescent="0.25">
      <c r="A11" s="6" t="s">
        <v>12</v>
      </c>
      <c r="B11" s="7" t="s">
        <v>11</v>
      </c>
      <c r="C11" s="47" t="s">
        <v>124</v>
      </c>
      <c r="D11" s="47" t="s">
        <v>125</v>
      </c>
      <c r="E11" s="33">
        <v>46072</v>
      </c>
      <c r="F11" s="27">
        <f t="shared" si="2"/>
        <v>0.3136689814782585</v>
      </c>
      <c r="G11" s="27"/>
      <c r="H11" s="27"/>
      <c r="I11" s="27">
        <f t="shared" si="0"/>
        <v>0.78636574074334931</v>
      </c>
      <c r="J11" s="8"/>
    </row>
    <row r="12" spans="1:12" x14ac:dyDescent="0.25">
      <c r="A12" s="6" t="s">
        <v>12</v>
      </c>
      <c r="B12" s="7" t="s">
        <v>11</v>
      </c>
      <c r="C12" s="47" t="s">
        <v>126</v>
      </c>
      <c r="D12" s="47" t="s">
        <v>127</v>
      </c>
      <c r="E12" s="33">
        <v>46073</v>
      </c>
      <c r="F12" s="27">
        <f t="shared" si="2"/>
        <v>0.46503472221957054</v>
      </c>
      <c r="G12" s="27"/>
      <c r="H12" s="27"/>
      <c r="I12" s="27">
        <f t="shared" si="0"/>
        <v>0.72163194444146939</v>
      </c>
      <c r="J12" s="8" t="s">
        <v>918</v>
      </c>
    </row>
    <row r="13" spans="1:12" x14ac:dyDescent="0.25">
      <c r="A13" s="6" t="s">
        <v>12</v>
      </c>
      <c r="B13" s="7" t="s">
        <v>11</v>
      </c>
      <c r="C13" s="2"/>
      <c r="D13" s="2"/>
      <c r="E13" s="33">
        <v>46074</v>
      </c>
      <c r="F13" s="27">
        <v>0.3215277777777778</v>
      </c>
      <c r="G13" s="27"/>
      <c r="H13" s="27"/>
      <c r="I13" s="27">
        <v>0.72013888888888888</v>
      </c>
      <c r="J13" s="8"/>
    </row>
    <row r="14" spans="1:12" x14ac:dyDescent="0.25">
      <c r="A14" s="6" t="s">
        <v>12</v>
      </c>
      <c r="B14" s="7" t="s">
        <v>11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12</v>
      </c>
      <c r="B15" s="7" t="s">
        <v>11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12</v>
      </c>
      <c r="B16" s="7" t="s">
        <v>11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12</v>
      </c>
      <c r="B17" s="7" t="s">
        <v>11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x14ac:dyDescent="0.25">
      <c r="A18" s="6"/>
      <c r="B18" s="7"/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A19" s="6"/>
      <c r="B19" s="7"/>
      <c r="C19" s="2"/>
      <c r="D19" s="2"/>
      <c r="E19" s="33"/>
      <c r="F19" s="27"/>
      <c r="I19" s="27"/>
      <c r="J19" s="8"/>
    </row>
    <row r="20" spans="1:10" ht="15.75" thickBot="1" x14ac:dyDescent="0.3">
      <c r="A20" s="10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B26" s="2"/>
      <c r="C26" s="2"/>
      <c r="D26" s="2"/>
      <c r="E26" s="20"/>
    </row>
  </sheetData>
  <mergeCells count="2">
    <mergeCell ref="F1:G1"/>
    <mergeCell ref="H1:I1"/>
  </mergeCells>
  <phoneticPr fontId="2" type="noConversion"/>
  <conditionalFormatting sqref="A3:E4 J3:XFD18 E5:E6 A5:D14 C15:D17 A15:B19 C18:E19">
    <cfRule type="cellIs" dxfId="1274" priority="6" operator="equal">
      <formula>"UNDERTIME"</formula>
    </cfRule>
  </conditionalFormatting>
  <conditionalFormatting sqref="A1:XFD2 F19:XFD19 A20:XFD1048576">
    <cfRule type="cellIs" dxfId="1273" priority="18" operator="equal">
      <formula>"UNDERTIME"</formula>
    </cfRule>
  </conditionalFormatting>
  <conditionalFormatting sqref="E7:H18">
    <cfRule type="cellIs" dxfId="1272" priority="1" operator="equal">
      <formula>"UNDERTIME"</formula>
    </cfRule>
  </conditionalFormatting>
  <conditionalFormatting sqref="F3:H6">
    <cfRule type="cellIs" dxfId="1271" priority="2" operator="equal">
      <formula>"UNDERTIME"</formula>
    </cfRule>
  </conditionalFormatting>
  <conditionalFormatting sqref="J1:J2 J14:J1048576">
    <cfRule type="cellIs" dxfId="1270" priority="25" operator="equal">
      <formula>"UNDERTIME"</formula>
    </cfRule>
  </conditionalFormatting>
  <conditionalFormatting sqref="J1:J14">
    <cfRule type="cellIs" dxfId="1269" priority="8" operator="equal">
      <formula>"OB"</formula>
    </cfRule>
  </conditionalFormatting>
  <conditionalFormatting sqref="J1:J1048576">
    <cfRule type="cellIs" dxfId="1268" priority="7" operator="equal">
      <formula>"HOLIDAY"</formula>
    </cfRule>
    <cfRule type="cellIs" dxfId="1267" priority="9" operator="equal">
      <formula>"RESTDAY"</formula>
    </cfRule>
    <cfRule type="cellIs" dxfId="1266" priority="10" operator="equal">
      <formula>"HALF DAY"</formula>
    </cfRule>
    <cfRule type="cellIs" dxfId="1265" priority="11" operator="equal">
      <formula>"ABSENT"</formula>
    </cfRule>
    <cfRule type="cellIs" dxfId="1264" priority="13" operator="equal">
      <formula>"ABSENT"</formula>
    </cfRule>
  </conditionalFormatting>
  <conditionalFormatting sqref="J3:J14">
    <cfRule type="cellIs" dxfId="1263" priority="12" operator="equal">
      <formula>"UNDERTIME"</formula>
    </cfRule>
  </conditionalFormatting>
  <conditionalFormatting sqref="J5:J1048576">
    <cfRule type="cellIs" dxfId="1262" priority="15" operator="equal">
      <formula>"OB"</formula>
    </cfRule>
  </conditionalFormatting>
  <conditionalFormatting sqref="J6">
    <cfRule type="cellIs" dxfId="1261" priority="5" operator="equal">
      <formula>"OB"</formula>
    </cfRule>
  </conditionalFormatting>
  <conditionalFormatting sqref="J7">
    <cfRule type="cellIs" dxfId="1260" priority="16" operator="equal">
      <formula>"OB"</formula>
    </cfRule>
  </conditionalFormatting>
  <conditionalFormatting sqref="J13">
    <cfRule type="cellIs" dxfId="1259" priority="14" operator="equal">
      <formula>"OB"</formula>
    </cfRule>
  </conditionalFormatting>
  <conditionalFormatting sqref="J14">
    <cfRule type="cellIs" dxfId="1258" priority="3" operator="equal">
      <formula>"OB"</formula>
    </cfRule>
    <cfRule type="cellIs" dxfId="1257" priority="27" operator="equal">
      <formula>"OB"</formula>
    </cfRule>
  </conditionalFormatting>
  <conditionalFormatting sqref="J14:J1048576">
    <cfRule type="cellIs" dxfId="1256" priority="31" operator="equal">
      <formula>"OB"</formula>
    </cfRule>
  </conditionalFormatting>
  <conditionalFormatting sqref="J17:J18">
    <cfRule type="cellIs" dxfId="1255" priority="33" operator="equal">
      <formula>"OB"</formula>
    </cfRule>
  </conditionalFormatting>
  <conditionalFormatting sqref="K6:K8">
    <cfRule type="containsText" dxfId="1254" priority="40" operator="containsText" text="SUNDAY">
      <formula>NOT(ISERROR(SEARCH("SUNDAY",K6)))</formula>
    </cfRule>
    <cfRule type="containsText" dxfId="1253" priority="41" operator="containsText" text="HOLIDAY">
      <formula>NOT(ISERROR(SEARCH("HOLIDAY",K6)))</formula>
    </cfRule>
  </conditionalFormatting>
  <conditionalFormatting sqref="K9">
    <cfRule type="containsText" dxfId="1252" priority="42" operator="containsText" text="SUNDAY">
      <formula>NOT(ISERROR(SEARCH("SUNDAY",K9)))</formula>
    </cfRule>
    <cfRule type="containsText" dxfId="1251" priority="43" operator="containsText" text="HOLIDAY">
      <formula>NOT(ISERROR(SEARCH("HOLIDAY",K9)))</formula>
    </cfRule>
  </conditionalFormatting>
  <conditionalFormatting sqref="L5:L9">
    <cfRule type="containsText" dxfId="1250" priority="36" operator="containsText" text="SUNDAY">
      <formula>NOT(ISERROR(SEARCH("SUNDAY",L5)))</formula>
    </cfRule>
    <cfRule type="containsText" dxfId="1249" priority="37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A74B-0945-4F03-BBC3-8AD23AD33656}">
  <dimension ref="A1:L26"/>
  <sheetViews>
    <sheetView zoomScaleNormal="100" zoomScaleSheetLayoutView="93" workbookViewId="0">
      <selection activeCell="I11" sqref="I11"/>
    </sheetView>
  </sheetViews>
  <sheetFormatPr defaultColWidth="8.85546875" defaultRowHeight="15" x14ac:dyDescent="0.25"/>
  <cols>
    <col min="1" max="1" width="13.28515625" style="1" bestFit="1" customWidth="1"/>
    <col min="2" max="2" width="23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14"/>
      <c r="B2" s="1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14</v>
      </c>
      <c r="B3" s="7" t="s">
        <v>105</v>
      </c>
      <c r="C3" s="47" t="s">
        <v>129</v>
      </c>
      <c r="D3" s="47" t="s">
        <v>130</v>
      </c>
      <c r="E3" s="33">
        <v>46064</v>
      </c>
      <c r="F3" s="27">
        <f>C3-E3</f>
        <v>0.3320138888884685</v>
      </c>
      <c r="G3" s="27"/>
      <c r="H3" s="27"/>
      <c r="I3" s="27">
        <f t="shared" ref="I3:I13" si="0">D3-E3</f>
        <v>0.7095254629603005</v>
      </c>
      <c r="J3" s="8"/>
    </row>
    <row r="4" spans="1:12" x14ac:dyDescent="0.25">
      <c r="A4" s="6" t="s">
        <v>14</v>
      </c>
      <c r="B4" s="7" t="s">
        <v>105</v>
      </c>
      <c r="C4" s="47" t="s">
        <v>131</v>
      </c>
      <c r="D4" s="47" t="s">
        <v>132</v>
      </c>
      <c r="E4" s="33">
        <v>46065</v>
      </c>
      <c r="F4" s="27">
        <f t="shared" ref="F4:F6" si="1">C4-E4</f>
        <v>0.33042824074072996</v>
      </c>
      <c r="G4" s="27"/>
      <c r="H4" s="27"/>
      <c r="I4" s="27">
        <f t="shared" si="0"/>
        <v>0.71048611111473292</v>
      </c>
      <c r="J4" s="8"/>
    </row>
    <row r="5" spans="1:12" x14ac:dyDescent="0.25">
      <c r="A5" s="6" t="s">
        <v>14</v>
      </c>
      <c r="B5" s="7" t="s">
        <v>105</v>
      </c>
      <c r="C5" s="47" t="s">
        <v>133</v>
      </c>
      <c r="D5" s="47" t="s">
        <v>134</v>
      </c>
      <c r="E5" s="33">
        <v>46066</v>
      </c>
      <c r="F5" s="27">
        <f t="shared" si="1"/>
        <v>0.32177083333226619</v>
      </c>
      <c r="G5" s="27"/>
      <c r="H5" s="27"/>
      <c r="I5" s="27">
        <f t="shared" si="0"/>
        <v>0.70888888889021473</v>
      </c>
      <c r="J5" s="8"/>
      <c r="K5" s="3" t="s">
        <v>6</v>
      </c>
      <c r="L5" s="4">
        <v>0</v>
      </c>
    </row>
    <row r="6" spans="1:12" x14ac:dyDescent="0.25">
      <c r="A6" s="6" t="s">
        <v>14</v>
      </c>
      <c r="B6" s="7" t="s">
        <v>105</v>
      </c>
      <c r="C6" s="47" t="s">
        <v>135</v>
      </c>
      <c r="D6" s="47" t="s">
        <v>136</v>
      </c>
      <c r="E6" s="33">
        <v>46067</v>
      </c>
      <c r="F6" s="27">
        <f t="shared" si="1"/>
        <v>0.32785879629955161</v>
      </c>
      <c r="G6" s="27"/>
      <c r="H6" s="27"/>
      <c r="I6" s="27">
        <f t="shared" si="0"/>
        <v>0.70983796296059154</v>
      </c>
      <c r="J6" s="8"/>
      <c r="K6" s="3" t="s">
        <v>7</v>
      </c>
      <c r="L6" s="4">
        <v>0</v>
      </c>
    </row>
    <row r="7" spans="1:12" x14ac:dyDescent="0.25">
      <c r="A7" s="6" t="s">
        <v>14</v>
      </c>
      <c r="B7" s="7" t="s">
        <v>105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14</v>
      </c>
      <c r="B8" s="7" t="s">
        <v>105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14</v>
      </c>
      <c r="B9" s="7" t="s">
        <v>105</v>
      </c>
      <c r="C9" s="47" t="s">
        <v>137</v>
      </c>
      <c r="D9" s="47" t="s">
        <v>138</v>
      </c>
      <c r="E9" s="33">
        <v>46070</v>
      </c>
      <c r="F9" s="27">
        <f t="shared" ref="F9:F13" si="2">C9-E9</f>
        <v>0.30755787037196569</v>
      </c>
      <c r="G9" s="27"/>
      <c r="H9" s="27"/>
      <c r="I9" s="27">
        <f t="shared" si="0"/>
        <v>0.71004629629896954</v>
      </c>
      <c r="J9" s="8"/>
      <c r="K9" s="3" t="s">
        <v>10</v>
      </c>
      <c r="L9" s="4">
        <v>0</v>
      </c>
    </row>
    <row r="10" spans="1:12" x14ac:dyDescent="0.25">
      <c r="A10" s="6" t="s">
        <v>14</v>
      </c>
      <c r="B10" s="7" t="s">
        <v>105</v>
      </c>
      <c r="C10" s="47" t="s">
        <v>139</v>
      </c>
      <c r="D10" s="2"/>
      <c r="E10" s="33">
        <v>46071</v>
      </c>
      <c r="F10" s="27">
        <f t="shared" si="2"/>
        <v>0.32964120370161254</v>
      </c>
      <c r="G10" s="27"/>
      <c r="H10" s="27"/>
      <c r="I10" s="27">
        <v>0.71250000000000002</v>
      </c>
      <c r="J10" s="8"/>
    </row>
    <row r="11" spans="1:12" x14ac:dyDescent="0.25">
      <c r="A11" s="6" t="s">
        <v>14</v>
      </c>
      <c r="B11" s="7" t="s">
        <v>105</v>
      </c>
      <c r="C11" s="47" t="s">
        <v>140</v>
      </c>
      <c r="D11" s="47" t="s">
        <v>141</v>
      </c>
      <c r="E11" s="33">
        <v>46072</v>
      </c>
      <c r="F11" s="27">
        <f t="shared" si="2"/>
        <v>0.32255787037138361</v>
      </c>
      <c r="G11" s="27"/>
      <c r="H11" s="27"/>
      <c r="I11" s="27">
        <f t="shared" si="0"/>
        <v>0.70947916666773381</v>
      </c>
      <c r="J11" s="8"/>
    </row>
    <row r="12" spans="1:12" x14ac:dyDescent="0.25">
      <c r="A12" s="6" t="s">
        <v>14</v>
      </c>
      <c r="B12" s="7" t="s">
        <v>105</v>
      </c>
      <c r="C12" s="47" t="s">
        <v>142</v>
      </c>
      <c r="D12" s="47" t="s">
        <v>143</v>
      </c>
      <c r="E12" s="33">
        <v>46073</v>
      </c>
      <c r="F12" s="27">
        <f t="shared" si="2"/>
        <v>0.31643518518831115</v>
      </c>
      <c r="G12" s="27"/>
      <c r="H12" s="27"/>
      <c r="I12" s="27">
        <f t="shared" si="0"/>
        <v>0.70939814814482816</v>
      </c>
      <c r="J12" s="8"/>
    </row>
    <row r="13" spans="1:12" x14ac:dyDescent="0.25">
      <c r="A13" s="6" t="s">
        <v>14</v>
      </c>
      <c r="B13" s="7" t="s">
        <v>105</v>
      </c>
      <c r="C13" s="47" t="s">
        <v>144</v>
      </c>
      <c r="D13" s="47" t="s">
        <v>145</v>
      </c>
      <c r="E13" s="33">
        <v>46074</v>
      </c>
      <c r="F13" s="27">
        <f t="shared" si="2"/>
        <v>0.33368055555911269</v>
      </c>
      <c r="G13" s="27"/>
      <c r="H13" s="27"/>
      <c r="I13" s="27">
        <f t="shared" si="0"/>
        <v>0.71025462963007158</v>
      </c>
      <c r="J13" s="8"/>
    </row>
    <row r="14" spans="1:12" x14ac:dyDescent="0.25">
      <c r="A14" s="6" t="s">
        <v>14</v>
      </c>
      <c r="B14" s="7" t="s">
        <v>105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14</v>
      </c>
      <c r="B15" s="7" t="s">
        <v>105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14</v>
      </c>
      <c r="B16" s="7" t="s">
        <v>105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14</v>
      </c>
      <c r="B17" s="7" t="s">
        <v>105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14</v>
      </c>
      <c r="B18" s="7" t="s">
        <v>105</v>
      </c>
      <c r="C18" s="28"/>
      <c r="D18" s="28"/>
      <c r="E18" s="33"/>
      <c r="F18" s="27"/>
      <c r="G18" s="29"/>
      <c r="H18" s="29"/>
      <c r="I18" s="27"/>
      <c r="J18" s="8"/>
    </row>
    <row r="19" spans="1:10" ht="15.75" customHeight="1" x14ac:dyDescent="0.25">
      <c r="A19" s="6"/>
      <c r="B19" s="7"/>
      <c r="C19" s="2"/>
      <c r="D19" s="2"/>
      <c r="E19" s="33"/>
      <c r="F19" s="27"/>
      <c r="I19" s="27"/>
      <c r="J19" s="8"/>
    </row>
    <row r="20" spans="1:10" ht="15.75" thickBot="1" x14ac:dyDescent="0.3">
      <c r="A20" s="10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B26" s="2"/>
      <c r="C26" s="2"/>
      <c r="D26" s="2"/>
      <c r="E26" s="20"/>
    </row>
  </sheetData>
  <mergeCells count="2">
    <mergeCell ref="F1:G1"/>
    <mergeCell ref="H1:I1"/>
  </mergeCells>
  <phoneticPr fontId="2" type="noConversion"/>
  <conditionalFormatting sqref="C3:E4 J3:L18 E5:E6 C5:D17 E7:H7 E8:E17 C18:E19">
    <cfRule type="cellIs" dxfId="1248" priority="5" operator="equal">
      <formula>"UNDERTIME"</formula>
    </cfRule>
  </conditionalFormatting>
  <conditionalFormatting sqref="C1:L2 F19:L19 C20:L1048576">
    <cfRule type="cellIs" dxfId="1247" priority="16" operator="equal">
      <formula>"UNDERTIME"</formula>
    </cfRule>
  </conditionalFormatting>
  <conditionalFormatting sqref="F3:H6">
    <cfRule type="cellIs" dxfId="1246" priority="2" operator="equal">
      <formula>"UNDERTIME"</formula>
    </cfRule>
  </conditionalFormatting>
  <conditionalFormatting sqref="F8:H18">
    <cfRule type="cellIs" dxfId="1245" priority="1" operator="equal">
      <formula>"UNDERTIME"</formula>
    </cfRule>
  </conditionalFormatting>
  <conditionalFormatting sqref="J1:J2 J14:J1048576">
    <cfRule type="cellIs" dxfId="1244" priority="17" operator="equal">
      <formula>"UNDERTIME"</formula>
    </cfRule>
  </conditionalFormatting>
  <conditionalFormatting sqref="J1:J14">
    <cfRule type="cellIs" dxfId="1243" priority="7" operator="equal">
      <formula>"OB"</formula>
    </cfRule>
  </conditionalFormatting>
  <conditionalFormatting sqref="J1:J1048576">
    <cfRule type="cellIs" dxfId="1242" priority="6" operator="equal">
      <formula>"HOLIDAY"</formula>
    </cfRule>
    <cfRule type="cellIs" dxfId="1241" priority="8" operator="equal">
      <formula>"RESTDAY"</formula>
    </cfRule>
    <cfRule type="cellIs" dxfId="1240" priority="9" operator="equal">
      <formula>"HALF DAY"</formula>
    </cfRule>
    <cfRule type="cellIs" dxfId="1239" priority="10" operator="equal">
      <formula>"ABSENT"</formula>
    </cfRule>
    <cfRule type="cellIs" dxfId="1238" priority="12" operator="equal">
      <formula>"ABSENT"</formula>
    </cfRule>
  </conditionalFormatting>
  <conditionalFormatting sqref="J3:J14">
    <cfRule type="cellIs" dxfId="1237" priority="11" operator="equal">
      <formula>"UNDERTIME"</formula>
    </cfRule>
  </conditionalFormatting>
  <conditionalFormatting sqref="J5:J1048576">
    <cfRule type="cellIs" dxfId="1236" priority="14" operator="equal">
      <formula>"OB"</formula>
    </cfRule>
  </conditionalFormatting>
  <conditionalFormatting sqref="J6">
    <cfRule type="cellIs" dxfId="1235" priority="4" operator="equal">
      <formula>"OB"</formula>
    </cfRule>
  </conditionalFormatting>
  <conditionalFormatting sqref="J7">
    <cfRule type="cellIs" dxfId="1234" priority="15" operator="equal">
      <formula>"OB"</formula>
    </cfRule>
  </conditionalFormatting>
  <conditionalFormatting sqref="J13">
    <cfRule type="cellIs" dxfId="1233" priority="13" operator="equal">
      <formula>"OB"</formula>
    </cfRule>
  </conditionalFormatting>
  <conditionalFormatting sqref="J14">
    <cfRule type="cellIs" dxfId="1232" priority="3" operator="equal">
      <formula>"OB"</formula>
    </cfRule>
    <cfRule type="cellIs" dxfId="1231" priority="18" operator="equal">
      <formula>"OB"</formula>
    </cfRule>
  </conditionalFormatting>
  <conditionalFormatting sqref="J14:J1048576">
    <cfRule type="cellIs" dxfId="1230" priority="19" operator="equal">
      <formula>"OB"</formula>
    </cfRule>
  </conditionalFormatting>
  <conditionalFormatting sqref="J17:J18">
    <cfRule type="cellIs" dxfId="1229" priority="20" operator="equal">
      <formula>"OB"</formula>
    </cfRule>
  </conditionalFormatting>
  <conditionalFormatting sqref="K6:K8">
    <cfRule type="containsText" dxfId="1228" priority="23" operator="containsText" text="SUNDAY">
      <formula>NOT(ISERROR(SEARCH("SUNDAY",K6)))</formula>
    </cfRule>
    <cfRule type="containsText" dxfId="1227" priority="24" operator="containsText" text="HOLIDAY">
      <formula>NOT(ISERROR(SEARCH("HOLIDAY",K6)))</formula>
    </cfRule>
  </conditionalFormatting>
  <conditionalFormatting sqref="K9">
    <cfRule type="containsText" dxfId="1226" priority="25" operator="containsText" text="SUNDAY">
      <formula>NOT(ISERROR(SEARCH("SUNDAY",K9)))</formula>
    </cfRule>
    <cfRule type="containsText" dxfId="1225" priority="26" operator="containsText" text="HOLIDAY">
      <formula>NOT(ISERROR(SEARCH("HOLIDAY",K9)))</formula>
    </cfRule>
  </conditionalFormatting>
  <conditionalFormatting sqref="L5:L9">
    <cfRule type="containsText" dxfId="1224" priority="21" operator="containsText" text="SUNDAY">
      <formula>NOT(ISERROR(SEARCH("SUNDAY",L5)))</formula>
    </cfRule>
    <cfRule type="containsText" dxfId="1223" priority="2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4A189-66E2-4178-B3C1-C1C3D05D8788}">
  <dimension ref="A1:L26"/>
  <sheetViews>
    <sheetView zoomScaleNormal="100" zoomScaleSheetLayoutView="93" workbookViewId="0">
      <selection activeCell="L7" sqref="L7"/>
    </sheetView>
  </sheetViews>
  <sheetFormatPr defaultColWidth="8.85546875" defaultRowHeight="15" x14ac:dyDescent="0.25"/>
  <cols>
    <col min="1" max="1" width="13.28515625" style="1" bestFit="1" customWidth="1"/>
    <col min="2" max="2" width="24.285156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ht="15.75" customHeight="1" x14ac:dyDescent="0.25">
      <c r="A2" s="14"/>
      <c r="B2" s="1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15</v>
      </c>
      <c r="B3" s="7" t="s">
        <v>16</v>
      </c>
      <c r="C3" s="47" t="s">
        <v>146</v>
      </c>
      <c r="D3" s="47" t="s">
        <v>147</v>
      </c>
      <c r="E3" s="33">
        <v>46064</v>
      </c>
      <c r="F3" s="48">
        <f>C3-E3</f>
        <v>0.38309027777722804</v>
      </c>
      <c r="G3" s="27"/>
      <c r="H3" s="27"/>
      <c r="I3" s="27">
        <f t="shared" ref="I3:I13" si="0">D3-E3</f>
        <v>0.76509259259182727</v>
      </c>
      <c r="J3" s="8"/>
    </row>
    <row r="4" spans="1:12" x14ac:dyDescent="0.25">
      <c r="A4" s="6" t="s">
        <v>15</v>
      </c>
      <c r="B4" s="7" t="s">
        <v>16</v>
      </c>
      <c r="C4" s="47" t="s">
        <v>148</v>
      </c>
      <c r="D4" s="47" t="s">
        <v>149</v>
      </c>
      <c r="E4" s="33">
        <v>46065</v>
      </c>
      <c r="F4" s="48">
        <f t="shared" ref="F4:F6" si="1">C4-E4</f>
        <v>0.39377314814919373</v>
      </c>
      <c r="G4" s="27"/>
      <c r="H4" s="27"/>
      <c r="I4" s="27">
        <f t="shared" si="0"/>
        <v>0.7670370370396995</v>
      </c>
      <c r="J4" s="8"/>
    </row>
    <row r="5" spans="1:12" x14ac:dyDescent="0.25">
      <c r="A5" s="6" t="s">
        <v>15</v>
      </c>
      <c r="B5" s="7" t="s">
        <v>16</v>
      </c>
      <c r="C5" s="47" t="s">
        <v>150</v>
      </c>
      <c r="D5" s="47" t="s">
        <v>151</v>
      </c>
      <c r="E5" s="33">
        <v>46066</v>
      </c>
      <c r="F5" s="48">
        <f t="shared" si="1"/>
        <v>0.39156250000087311</v>
      </c>
      <c r="G5" s="27"/>
      <c r="H5" s="27"/>
      <c r="I5" s="27">
        <f t="shared" si="0"/>
        <v>0.81806712962861639</v>
      </c>
      <c r="J5" s="8"/>
      <c r="K5" s="3" t="s">
        <v>6</v>
      </c>
      <c r="L5" s="4">
        <v>0</v>
      </c>
    </row>
    <row r="6" spans="1:12" x14ac:dyDescent="0.25">
      <c r="A6" s="6" t="s">
        <v>15</v>
      </c>
      <c r="B6" s="7" t="s">
        <v>16</v>
      </c>
      <c r="C6" s="47" t="s">
        <v>152</v>
      </c>
      <c r="D6" s="47" t="s">
        <v>153</v>
      </c>
      <c r="E6" s="33">
        <v>46067</v>
      </c>
      <c r="F6" s="48">
        <f t="shared" si="1"/>
        <v>0.38565972222568234</v>
      </c>
      <c r="G6" s="27"/>
      <c r="H6" s="27"/>
      <c r="I6" s="27">
        <f t="shared" si="0"/>
        <v>0.71140046296204673</v>
      </c>
      <c r="J6" s="8"/>
      <c r="K6" s="3" t="s">
        <v>7</v>
      </c>
      <c r="L6" s="4">
        <v>1</v>
      </c>
    </row>
    <row r="7" spans="1:12" x14ac:dyDescent="0.25">
      <c r="A7" s="6" t="s">
        <v>15</v>
      </c>
      <c r="B7" s="7" t="s">
        <v>16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f>60+11+60+27+60+23+60+15+38</f>
        <v>354</v>
      </c>
    </row>
    <row r="8" spans="1:12" x14ac:dyDescent="0.25">
      <c r="A8" s="6" t="s">
        <v>15</v>
      </c>
      <c r="B8" s="7" t="s">
        <v>16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15</v>
      </c>
      <c r="B9" s="7" t="s">
        <v>16</v>
      </c>
      <c r="C9" s="28"/>
      <c r="D9" s="28"/>
      <c r="E9" s="33">
        <v>46070</v>
      </c>
      <c r="F9" s="27"/>
      <c r="G9" s="27"/>
      <c r="H9" s="27"/>
      <c r="I9" s="27"/>
      <c r="J9" s="8" t="s">
        <v>600</v>
      </c>
      <c r="K9" s="3" t="s">
        <v>10</v>
      </c>
      <c r="L9" s="4">
        <v>0</v>
      </c>
    </row>
    <row r="10" spans="1:12" x14ac:dyDescent="0.25">
      <c r="A10" s="6" t="s">
        <v>15</v>
      </c>
      <c r="B10" s="7" t="s">
        <v>16</v>
      </c>
      <c r="C10" s="2"/>
      <c r="D10" s="2"/>
      <c r="E10" s="33">
        <v>46071</v>
      </c>
      <c r="F10" s="27"/>
      <c r="G10" s="27"/>
      <c r="H10" s="27"/>
      <c r="I10" s="27"/>
      <c r="J10" s="8" t="s">
        <v>600</v>
      </c>
    </row>
    <row r="11" spans="1:12" x14ac:dyDescent="0.25">
      <c r="A11" s="6" t="s">
        <v>15</v>
      </c>
      <c r="B11" s="7" t="s">
        <v>16</v>
      </c>
      <c r="C11" s="2"/>
      <c r="D11" s="2"/>
      <c r="E11" s="33">
        <v>46072</v>
      </c>
      <c r="F11" s="27"/>
      <c r="G11" s="27"/>
      <c r="H11" s="27"/>
      <c r="I11" s="27"/>
      <c r="J11" s="8" t="s">
        <v>600</v>
      </c>
    </row>
    <row r="12" spans="1:12" x14ac:dyDescent="0.25">
      <c r="A12" s="6" t="s">
        <v>15</v>
      </c>
      <c r="B12" s="7" t="s">
        <v>16</v>
      </c>
      <c r="C12" s="2"/>
      <c r="D12" s="2"/>
      <c r="E12" s="33">
        <v>46073</v>
      </c>
      <c r="F12" s="27"/>
      <c r="G12" s="27"/>
      <c r="H12" s="27"/>
      <c r="I12" s="27"/>
      <c r="J12" s="8" t="s">
        <v>156</v>
      </c>
    </row>
    <row r="13" spans="1:12" x14ac:dyDescent="0.25">
      <c r="A13" s="6" t="s">
        <v>15</v>
      </c>
      <c r="B13" s="7" t="s">
        <v>16</v>
      </c>
      <c r="C13" s="47" t="s">
        <v>154</v>
      </c>
      <c r="D13" s="47" t="s">
        <v>155</v>
      </c>
      <c r="E13" s="33">
        <v>46074</v>
      </c>
      <c r="F13" s="48">
        <f t="shared" ref="F13" si="2">C13-E13</f>
        <v>0.35978009259270038</v>
      </c>
      <c r="G13" s="27"/>
      <c r="H13" s="27"/>
      <c r="I13" s="27">
        <f t="shared" si="0"/>
        <v>0.71386574074131204</v>
      </c>
      <c r="J13" s="8"/>
    </row>
    <row r="14" spans="1:12" x14ac:dyDescent="0.25">
      <c r="A14" s="6" t="s">
        <v>15</v>
      </c>
      <c r="B14" s="7" t="s">
        <v>16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15</v>
      </c>
      <c r="B15" s="7" t="s">
        <v>16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ht="15" customHeight="1" x14ac:dyDescent="0.25">
      <c r="A16" s="6" t="s">
        <v>15</v>
      </c>
      <c r="B16" s="7" t="s">
        <v>16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ht="15" customHeight="1" x14ac:dyDescent="0.25">
      <c r="A17" s="6" t="s">
        <v>15</v>
      </c>
      <c r="B17" s="7" t="s">
        <v>16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15</v>
      </c>
      <c r="B18" s="7" t="s">
        <v>16</v>
      </c>
      <c r="C18" s="28"/>
      <c r="D18" s="28"/>
      <c r="E18" s="33"/>
      <c r="F18" s="27"/>
      <c r="G18" s="29"/>
      <c r="H18" s="29"/>
      <c r="I18" s="27"/>
      <c r="J18" s="8"/>
    </row>
    <row r="19" spans="1:10" ht="15.75" customHeight="1" x14ac:dyDescent="0.25">
      <c r="A19" s="6"/>
      <c r="B19" s="7"/>
      <c r="C19" s="2"/>
      <c r="D19" s="2"/>
      <c r="E19" s="33"/>
      <c r="F19" s="27"/>
      <c r="I19" s="27"/>
      <c r="J19" s="8"/>
    </row>
    <row r="20" spans="1:10" ht="15.75" thickBot="1" x14ac:dyDescent="0.3">
      <c r="A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39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B26" s="2"/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1222" priority="43" operator="equal">
      <formula>"UNDERTIME"</formula>
    </cfRule>
  </conditionalFormatting>
  <conditionalFormatting sqref="F3:H18">
    <cfRule type="cellIs" dxfId="1221" priority="1" operator="equal">
      <formula>"UNDERTIME"</formula>
    </cfRule>
  </conditionalFormatting>
  <conditionalFormatting sqref="F1:J2 F19:J1048576">
    <cfRule type="cellIs" dxfId="1220" priority="16" operator="equal">
      <formula>"UNDERTIME"</formula>
    </cfRule>
  </conditionalFormatting>
  <conditionalFormatting sqref="J1:J2 J14:J1048576">
    <cfRule type="cellIs" dxfId="1219" priority="17" operator="equal">
      <formula>"UNDERTIME"</formula>
    </cfRule>
  </conditionalFormatting>
  <conditionalFormatting sqref="J1:J14">
    <cfRule type="cellIs" dxfId="1218" priority="7" operator="equal">
      <formula>"OB"</formula>
    </cfRule>
  </conditionalFormatting>
  <conditionalFormatting sqref="J1:J1048576">
    <cfRule type="cellIs" dxfId="1217" priority="6" operator="equal">
      <formula>"HOLIDAY"</formula>
    </cfRule>
    <cfRule type="cellIs" dxfId="1216" priority="8" operator="equal">
      <formula>"RESTDAY"</formula>
    </cfRule>
    <cfRule type="cellIs" dxfId="1215" priority="9" operator="equal">
      <formula>"HALF DAY"</formula>
    </cfRule>
    <cfRule type="cellIs" dxfId="1214" priority="10" operator="equal">
      <formula>"ABSENT"</formula>
    </cfRule>
    <cfRule type="cellIs" dxfId="1213" priority="12" operator="equal">
      <formula>"ABSENT"</formula>
    </cfRule>
  </conditionalFormatting>
  <conditionalFormatting sqref="J3:J14">
    <cfRule type="cellIs" dxfId="1212" priority="11" operator="equal">
      <formula>"UNDERTIME"</formula>
    </cfRule>
  </conditionalFormatting>
  <conditionalFormatting sqref="J3:J18">
    <cfRule type="cellIs" dxfId="1211" priority="5" operator="equal">
      <formula>"UNDERTIME"</formula>
    </cfRule>
  </conditionalFormatting>
  <conditionalFormatting sqref="J5:J1048576">
    <cfRule type="cellIs" dxfId="1210" priority="14" operator="equal">
      <formula>"OB"</formula>
    </cfRule>
  </conditionalFormatting>
  <conditionalFormatting sqref="J6">
    <cfRule type="cellIs" dxfId="1209" priority="4" operator="equal">
      <formula>"OB"</formula>
    </cfRule>
  </conditionalFormatting>
  <conditionalFormatting sqref="J7">
    <cfRule type="cellIs" dxfId="1208" priority="15" operator="equal">
      <formula>"OB"</formula>
    </cfRule>
  </conditionalFormatting>
  <conditionalFormatting sqref="J13">
    <cfRule type="cellIs" dxfId="1207" priority="13" operator="equal">
      <formula>"OB"</formula>
    </cfRule>
  </conditionalFormatting>
  <conditionalFormatting sqref="J14">
    <cfRule type="cellIs" dxfId="1206" priority="3" operator="equal">
      <formula>"OB"</formula>
    </cfRule>
    <cfRule type="cellIs" dxfId="1205" priority="18" operator="equal">
      <formula>"OB"</formula>
    </cfRule>
  </conditionalFormatting>
  <conditionalFormatting sqref="J14:J1048576">
    <cfRule type="cellIs" dxfId="1204" priority="19" operator="equal">
      <formula>"OB"</formula>
    </cfRule>
  </conditionalFormatting>
  <conditionalFormatting sqref="J17:J18">
    <cfRule type="cellIs" dxfId="1203" priority="20" operator="equal">
      <formula>"OB"</formula>
    </cfRule>
  </conditionalFormatting>
  <conditionalFormatting sqref="K6:K8">
    <cfRule type="containsText" dxfId="1202" priority="61" operator="containsText" text="SUNDAY">
      <formula>NOT(ISERROR(SEARCH("SUNDAY",K6)))</formula>
    </cfRule>
    <cfRule type="containsText" dxfId="1201" priority="62" operator="containsText" text="HOLIDAY">
      <formula>NOT(ISERROR(SEARCH("HOLIDAY",K6)))</formula>
    </cfRule>
  </conditionalFormatting>
  <conditionalFormatting sqref="K9">
    <cfRule type="containsText" dxfId="1200" priority="63" operator="containsText" text="SUNDAY">
      <formula>NOT(ISERROR(SEARCH("SUNDAY",K9)))</formula>
    </cfRule>
    <cfRule type="containsText" dxfId="1199" priority="64" operator="containsText" text="HOLIDAY">
      <formula>NOT(ISERROR(SEARCH("HOLIDAY",K9)))</formula>
    </cfRule>
  </conditionalFormatting>
  <conditionalFormatting sqref="L5:L9">
    <cfRule type="containsText" dxfId="1198" priority="59" operator="containsText" text="SUNDAY">
      <formula>NOT(ISERROR(SEARCH("SUNDAY",L5)))</formula>
    </cfRule>
    <cfRule type="containsText" dxfId="1197" priority="60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36FF-756D-426B-83D1-187DC333F015}">
  <dimension ref="A1:L26"/>
  <sheetViews>
    <sheetView zoomScaleNormal="100" zoomScaleSheetLayoutView="93" workbookViewId="0">
      <selection activeCell="L7" sqref="L7"/>
    </sheetView>
  </sheetViews>
  <sheetFormatPr defaultColWidth="8.85546875" defaultRowHeight="15" x14ac:dyDescent="0.25"/>
  <cols>
    <col min="1" max="1" width="13.28515625" style="1" bestFit="1" customWidth="1"/>
    <col min="2" max="2" width="23.7109375" style="1" bestFit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18</v>
      </c>
      <c r="B3" s="7" t="s">
        <v>19</v>
      </c>
      <c r="C3" s="2" t="s">
        <v>157</v>
      </c>
      <c r="D3" s="2" t="s">
        <v>158</v>
      </c>
      <c r="E3" s="33">
        <v>46064</v>
      </c>
      <c r="F3" s="27">
        <f>C3-E3</f>
        <v>0.32006944444583496</v>
      </c>
      <c r="G3" s="27"/>
      <c r="H3" s="27"/>
      <c r="I3" s="27">
        <f t="shared" ref="I3:I13" si="0">D3-E3</f>
        <v>0.71282407407124992</v>
      </c>
      <c r="J3" s="8"/>
    </row>
    <row r="4" spans="1:12" x14ac:dyDescent="0.25">
      <c r="A4" s="6" t="s">
        <v>18</v>
      </c>
      <c r="B4" s="7" t="s">
        <v>19</v>
      </c>
      <c r="C4" s="2" t="s">
        <v>159</v>
      </c>
      <c r="D4" s="2" t="s">
        <v>160</v>
      </c>
      <c r="E4" s="33">
        <v>46065</v>
      </c>
      <c r="F4" s="27">
        <f t="shared" ref="F4:F6" si="1">C4-E4</f>
        <v>0.31991898148407927</v>
      </c>
      <c r="G4" s="27"/>
      <c r="H4" s="27"/>
      <c r="I4" s="27">
        <f t="shared" si="0"/>
        <v>0.70864583333604969</v>
      </c>
      <c r="J4" s="8"/>
    </row>
    <row r="5" spans="1:12" x14ac:dyDescent="0.25">
      <c r="A5" s="6" t="s">
        <v>18</v>
      </c>
      <c r="B5" s="7" t="s">
        <v>19</v>
      </c>
      <c r="C5" s="2" t="s">
        <v>161</v>
      </c>
      <c r="D5" s="2" t="s">
        <v>162</v>
      </c>
      <c r="E5" s="33">
        <v>46066</v>
      </c>
      <c r="F5" s="48">
        <f t="shared" si="1"/>
        <v>0.33737268518598285</v>
      </c>
      <c r="G5" s="27"/>
      <c r="H5" s="27"/>
      <c r="I5" s="27">
        <f t="shared" si="0"/>
        <v>0.70858796295942739</v>
      </c>
      <c r="J5" s="8"/>
      <c r="K5" s="3" t="s">
        <v>6</v>
      </c>
      <c r="L5" s="4">
        <v>0</v>
      </c>
    </row>
    <row r="6" spans="1:12" x14ac:dyDescent="0.25">
      <c r="A6" s="6" t="s">
        <v>18</v>
      </c>
      <c r="B6" s="7" t="s">
        <v>19</v>
      </c>
      <c r="C6" s="2" t="s">
        <v>163</v>
      </c>
      <c r="D6" s="28"/>
      <c r="E6" s="33">
        <v>46067</v>
      </c>
      <c r="F6" s="27">
        <f t="shared" si="1"/>
        <v>0.30509259259270038</v>
      </c>
      <c r="G6" s="27"/>
      <c r="H6" s="27"/>
      <c r="I6" s="27">
        <v>0.71111111111111114</v>
      </c>
      <c r="J6" s="8"/>
      <c r="K6" s="3" t="s">
        <v>7</v>
      </c>
      <c r="L6" s="4">
        <v>0</v>
      </c>
    </row>
    <row r="7" spans="1:12" x14ac:dyDescent="0.25">
      <c r="A7" s="6" t="s">
        <v>18</v>
      </c>
      <c r="B7" s="7" t="s">
        <v>19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5</v>
      </c>
    </row>
    <row r="8" spans="1:12" x14ac:dyDescent="0.25">
      <c r="A8" s="6" t="s">
        <v>18</v>
      </c>
      <c r="B8" s="7" t="s">
        <v>19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18</v>
      </c>
      <c r="B9" s="7" t="s">
        <v>19</v>
      </c>
      <c r="C9" s="2" t="s">
        <v>164</v>
      </c>
      <c r="D9" s="2" t="s">
        <v>165</v>
      </c>
      <c r="E9" s="33">
        <v>46070</v>
      </c>
      <c r="F9" s="27">
        <f t="shared" ref="F9:F13" si="2">C9-E9</f>
        <v>0.32951388888614019</v>
      </c>
      <c r="G9" s="27"/>
      <c r="H9" s="27"/>
      <c r="I9" s="27">
        <f t="shared" si="0"/>
        <v>0.70916666666744277</v>
      </c>
      <c r="J9" s="8"/>
      <c r="K9" s="3" t="s">
        <v>10</v>
      </c>
      <c r="L9" s="4">
        <v>0</v>
      </c>
    </row>
    <row r="10" spans="1:12" x14ac:dyDescent="0.25">
      <c r="A10" s="6" t="s">
        <v>18</v>
      </c>
      <c r="B10" s="7" t="s">
        <v>19</v>
      </c>
      <c r="C10" s="2" t="s">
        <v>166</v>
      </c>
      <c r="D10" s="2" t="s">
        <v>167</v>
      </c>
      <c r="E10" s="33">
        <v>46071</v>
      </c>
      <c r="F10" s="27">
        <f t="shared" si="2"/>
        <v>0.31534722222568234</v>
      </c>
      <c r="G10" s="27"/>
      <c r="H10" s="27"/>
      <c r="I10" s="27">
        <f t="shared" si="0"/>
        <v>0.70906249999825377</v>
      </c>
      <c r="J10" s="8"/>
    </row>
    <row r="11" spans="1:12" x14ac:dyDescent="0.25">
      <c r="A11" s="6" t="s">
        <v>18</v>
      </c>
      <c r="B11" s="7" t="s">
        <v>19</v>
      </c>
      <c r="C11" s="2" t="s">
        <v>168</v>
      </c>
      <c r="D11" s="2" t="s">
        <v>169</v>
      </c>
      <c r="E11" s="33">
        <v>46072</v>
      </c>
      <c r="F11" s="27">
        <f t="shared" si="2"/>
        <v>0.32046296296175569</v>
      </c>
      <c r="G11" s="27"/>
      <c r="H11" s="27"/>
      <c r="I11" s="27">
        <f t="shared" si="0"/>
        <v>0.70874999999796273</v>
      </c>
      <c r="J11" s="8"/>
    </row>
    <row r="12" spans="1:12" x14ac:dyDescent="0.25">
      <c r="A12" s="6" t="s">
        <v>18</v>
      </c>
      <c r="B12" s="7" t="s">
        <v>19</v>
      </c>
      <c r="C12" s="2" t="s">
        <v>170</v>
      </c>
      <c r="D12" s="2" t="s">
        <v>171</v>
      </c>
      <c r="E12" s="33">
        <v>46073</v>
      </c>
      <c r="F12" s="27">
        <f t="shared" si="2"/>
        <v>0.31944444444525288</v>
      </c>
      <c r="G12" s="27"/>
      <c r="H12" s="27"/>
      <c r="I12" s="27">
        <f t="shared" si="0"/>
        <v>0.70844907407445135</v>
      </c>
      <c r="J12" s="8"/>
    </row>
    <row r="13" spans="1:12" x14ac:dyDescent="0.25">
      <c r="A13" s="6" t="s">
        <v>18</v>
      </c>
      <c r="B13" s="7" t="s">
        <v>19</v>
      </c>
      <c r="C13" s="2" t="s">
        <v>172</v>
      </c>
      <c r="D13" s="2" t="s">
        <v>173</v>
      </c>
      <c r="E13" s="33">
        <v>46074</v>
      </c>
      <c r="F13" s="27">
        <f t="shared" si="2"/>
        <v>0.32326388888759539</v>
      </c>
      <c r="G13" s="27"/>
      <c r="H13" s="27"/>
      <c r="I13" s="27">
        <f t="shared" si="0"/>
        <v>0.71018518518394558</v>
      </c>
      <c r="J13" s="8"/>
    </row>
    <row r="14" spans="1:12" x14ac:dyDescent="0.25">
      <c r="A14" s="6" t="s">
        <v>18</v>
      </c>
      <c r="B14" s="7" t="s">
        <v>19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18</v>
      </c>
      <c r="B15" s="7" t="s">
        <v>19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18</v>
      </c>
      <c r="B16" s="7" t="s">
        <v>19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18</v>
      </c>
      <c r="B17" s="7" t="s">
        <v>19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18</v>
      </c>
      <c r="B18" s="7" t="s">
        <v>19</v>
      </c>
      <c r="C18" s="28"/>
      <c r="D18" s="28"/>
      <c r="E18" s="33"/>
      <c r="F18" s="27"/>
      <c r="G18" s="29"/>
      <c r="H18" s="29"/>
      <c r="I18" s="27"/>
      <c r="J18" s="8"/>
    </row>
    <row r="19" spans="1:10" ht="15" customHeight="1" x14ac:dyDescent="0.25">
      <c r="A19" s="6"/>
      <c r="B19" s="7"/>
      <c r="C19" s="2"/>
      <c r="D19" s="2"/>
      <c r="E19" s="33"/>
      <c r="F19" s="27"/>
      <c r="I19" s="27"/>
      <c r="J19" s="8"/>
    </row>
    <row r="20" spans="1:10" ht="15.75" thickBot="1" x14ac:dyDescent="0.3">
      <c r="A20" s="40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1196" priority="25" operator="equal">
      <formula>"UNDERTIME"</formula>
    </cfRule>
  </conditionalFormatting>
  <conditionalFormatting sqref="F3:H18">
    <cfRule type="cellIs" dxfId="1195" priority="1" operator="equal">
      <formula>"UNDERTIME"</formula>
    </cfRule>
  </conditionalFormatting>
  <conditionalFormatting sqref="F1:J2 F19:J1048576">
    <cfRule type="cellIs" dxfId="1194" priority="16" operator="equal">
      <formula>"UNDERTIME"</formula>
    </cfRule>
  </conditionalFormatting>
  <conditionalFormatting sqref="J1:J2 J14:J1048576">
    <cfRule type="cellIs" dxfId="1193" priority="17" operator="equal">
      <formula>"UNDERTIME"</formula>
    </cfRule>
  </conditionalFormatting>
  <conditionalFormatting sqref="J1:J14">
    <cfRule type="cellIs" dxfId="1192" priority="7" operator="equal">
      <formula>"OB"</formula>
    </cfRule>
  </conditionalFormatting>
  <conditionalFormatting sqref="J1:J1048576">
    <cfRule type="cellIs" dxfId="1191" priority="6" operator="equal">
      <formula>"HOLIDAY"</formula>
    </cfRule>
    <cfRule type="cellIs" dxfId="1190" priority="8" operator="equal">
      <formula>"RESTDAY"</formula>
    </cfRule>
    <cfRule type="cellIs" dxfId="1189" priority="9" operator="equal">
      <formula>"HALF DAY"</formula>
    </cfRule>
    <cfRule type="cellIs" dxfId="1188" priority="10" operator="equal">
      <formula>"ABSENT"</formula>
    </cfRule>
    <cfRule type="cellIs" dxfId="1187" priority="12" operator="equal">
      <formula>"ABSENT"</formula>
    </cfRule>
  </conditionalFormatting>
  <conditionalFormatting sqref="J3:J14">
    <cfRule type="cellIs" dxfId="1186" priority="11" operator="equal">
      <formula>"UNDERTIME"</formula>
    </cfRule>
  </conditionalFormatting>
  <conditionalFormatting sqref="J3:J18">
    <cfRule type="cellIs" dxfId="1185" priority="5" operator="equal">
      <formula>"UNDERTIME"</formula>
    </cfRule>
  </conditionalFormatting>
  <conditionalFormatting sqref="J5:J1048576">
    <cfRule type="cellIs" dxfId="1184" priority="14" operator="equal">
      <formula>"OB"</formula>
    </cfRule>
  </conditionalFormatting>
  <conditionalFormatting sqref="J6">
    <cfRule type="cellIs" dxfId="1183" priority="4" operator="equal">
      <formula>"OB"</formula>
    </cfRule>
  </conditionalFormatting>
  <conditionalFormatting sqref="J7">
    <cfRule type="cellIs" dxfId="1182" priority="15" operator="equal">
      <formula>"OB"</formula>
    </cfRule>
  </conditionalFormatting>
  <conditionalFormatting sqref="J13">
    <cfRule type="cellIs" dxfId="1181" priority="13" operator="equal">
      <formula>"OB"</formula>
    </cfRule>
  </conditionalFormatting>
  <conditionalFormatting sqref="J14">
    <cfRule type="cellIs" dxfId="1180" priority="3" operator="equal">
      <formula>"OB"</formula>
    </cfRule>
    <cfRule type="cellIs" dxfId="1179" priority="18" operator="equal">
      <formula>"OB"</formula>
    </cfRule>
  </conditionalFormatting>
  <conditionalFormatting sqref="J14:J1048576">
    <cfRule type="cellIs" dxfId="1178" priority="19" operator="equal">
      <formula>"OB"</formula>
    </cfRule>
  </conditionalFormatting>
  <conditionalFormatting sqref="J17:J18">
    <cfRule type="cellIs" dxfId="1177" priority="20" operator="equal">
      <formula>"OB"</formula>
    </cfRule>
  </conditionalFormatting>
  <conditionalFormatting sqref="K6:K8">
    <cfRule type="containsText" dxfId="1176" priority="43" operator="containsText" text="SUNDAY">
      <formula>NOT(ISERROR(SEARCH("SUNDAY",K6)))</formula>
    </cfRule>
    <cfRule type="containsText" dxfId="1175" priority="44" operator="containsText" text="HOLIDAY">
      <formula>NOT(ISERROR(SEARCH("HOLIDAY",K6)))</formula>
    </cfRule>
  </conditionalFormatting>
  <conditionalFormatting sqref="K9">
    <cfRule type="containsText" dxfId="1174" priority="45" operator="containsText" text="SUNDAY">
      <formula>NOT(ISERROR(SEARCH("SUNDAY",K9)))</formula>
    </cfRule>
    <cfRule type="containsText" dxfId="1173" priority="46" operator="containsText" text="HOLIDAY">
      <formula>NOT(ISERROR(SEARCH("HOLIDAY",K9)))</formula>
    </cfRule>
  </conditionalFormatting>
  <conditionalFormatting sqref="L5:L9">
    <cfRule type="containsText" dxfId="1172" priority="41" operator="containsText" text="SUNDAY">
      <formula>NOT(ISERROR(SEARCH("SUNDAY",L5)))</formula>
    </cfRule>
    <cfRule type="containsText" dxfId="1171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2EB7-1236-4858-AB8A-6A28B2D1F880}">
  <dimension ref="A1:L26"/>
  <sheetViews>
    <sheetView zoomScaleNormal="100" zoomScaleSheetLayoutView="93" workbookViewId="0">
      <selection activeCell="L6" sqref="L6"/>
    </sheetView>
  </sheetViews>
  <sheetFormatPr defaultColWidth="8.85546875" defaultRowHeight="15" x14ac:dyDescent="0.25"/>
  <cols>
    <col min="1" max="1" width="13.28515625" style="1" bestFit="1" customWidth="1"/>
    <col min="2" max="2" width="24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74</v>
      </c>
      <c r="B3" s="7" t="s">
        <v>75</v>
      </c>
      <c r="C3" s="2" t="s">
        <v>174</v>
      </c>
      <c r="D3" s="2" t="s">
        <v>175</v>
      </c>
      <c r="E3" s="33">
        <v>46064</v>
      </c>
      <c r="F3" s="27">
        <f>C3-E3</f>
        <v>0.30630787037080154</v>
      </c>
      <c r="G3" s="27"/>
      <c r="H3" s="27"/>
      <c r="I3" s="27">
        <f t="shared" ref="I3:I13" si="0">D3-E3</f>
        <v>0.70974537036818219</v>
      </c>
      <c r="J3" s="8"/>
    </row>
    <row r="4" spans="1:12" x14ac:dyDescent="0.25">
      <c r="A4" s="6" t="s">
        <v>74</v>
      </c>
      <c r="B4" s="7" t="s">
        <v>75</v>
      </c>
      <c r="C4" s="2" t="s">
        <v>176</v>
      </c>
      <c r="D4" s="2" t="s">
        <v>177</v>
      </c>
      <c r="E4" s="33">
        <v>46065</v>
      </c>
      <c r="F4" s="27">
        <f t="shared" ref="F4:F6" si="1">C4-E4</f>
        <v>0.29829861110920319</v>
      </c>
      <c r="G4" s="27"/>
      <c r="H4" s="27"/>
      <c r="I4" s="27">
        <f t="shared" si="0"/>
        <v>0.71031249999941792</v>
      </c>
      <c r="J4" s="8"/>
    </row>
    <row r="5" spans="1:12" x14ac:dyDescent="0.25">
      <c r="A5" s="6" t="s">
        <v>74</v>
      </c>
      <c r="B5" s="7" t="s">
        <v>75</v>
      </c>
      <c r="C5" s="2" t="s">
        <v>178</v>
      </c>
      <c r="D5" s="2" t="s">
        <v>179</v>
      </c>
      <c r="E5" s="33">
        <v>46066</v>
      </c>
      <c r="F5" s="27">
        <f t="shared" si="1"/>
        <v>0.29702546296175569</v>
      </c>
      <c r="G5" s="27"/>
      <c r="H5" s="27"/>
      <c r="I5" s="27">
        <f t="shared" si="0"/>
        <v>0.70930555555241881</v>
      </c>
      <c r="J5" s="8"/>
      <c r="K5" s="3" t="s">
        <v>6</v>
      </c>
      <c r="L5" s="4">
        <v>0</v>
      </c>
    </row>
    <row r="6" spans="1:12" x14ac:dyDescent="0.25">
      <c r="A6" s="6" t="s">
        <v>74</v>
      </c>
      <c r="B6" s="7" t="s">
        <v>75</v>
      </c>
      <c r="C6" s="2" t="s">
        <v>180</v>
      </c>
      <c r="D6" s="2" t="s">
        <v>181</v>
      </c>
      <c r="E6" s="33">
        <v>46067</v>
      </c>
      <c r="F6" s="27">
        <f t="shared" si="1"/>
        <v>0.2955671296294895</v>
      </c>
      <c r="G6" s="27"/>
      <c r="H6" s="27"/>
      <c r="I6" s="27">
        <f t="shared" si="0"/>
        <v>0.71818287036876427</v>
      </c>
      <c r="J6" s="8"/>
      <c r="K6" s="3" t="s">
        <v>7</v>
      </c>
      <c r="L6" s="4">
        <v>1.5</v>
      </c>
    </row>
    <row r="7" spans="1:12" x14ac:dyDescent="0.25">
      <c r="A7" s="6" t="s">
        <v>74</v>
      </c>
      <c r="B7" s="7" t="s">
        <v>75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74</v>
      </c>
      <c r="B8" s="7" t="s">
        <v>75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74</v>
      </c>
      <c r="B9" s="7" t="s">
        <v>75</v>
      </c>
      <c r="C9" s="2" t="s">
        <v>182</v>
      </c>
      <c r="D9" s="2" t="s">
        <v>183</v>
      </c>
      <c r="E9" s="33">
        <v>46070</v>
      </c>
      <c r="F9" s="27">
        <f t="shared" ref="F9:F13" si="2">C9-E9</f>
        <v>0.29170138888730435</v>
      </c>
      <c r="G9" s="27"/>
      <c r="H9" s="27"/>
      <c r="I9" s="27">
        <f t="shared" si="0"/>
        <v>0.70925925925985212</v>
      </c>
      <c r="J9" s="8"/>
      <c r="K9" s="3" t="s">
        <v>10</v>
      </c>
      <c r="L9" s="4">
        <v>0</v>
      </c>
    </row>
    <row r="10" spans="1:12" x14ac:dyDescent="0.25">
      <c r="A10" s="6" t="s">
        <v>74</v>
      </c>
      <c r="B10" s="7" t="s">
        <v>75</v>
      </c>
      <c r="C10" s="2" t="s">
        <v>184</v>
      </c>
      <c r="D10" s="2" t="s">
        <v>185</v>
      </c>
      <c r="E10" s="33">
        <v>46071</v>
      </c>
      <c r="F10" s="27">
        <f t="shared" si="2"/>
        <v>0.27880787036701804</v>
      </c>
      <c r="G10" s="27"/>
      <c r="H10" s="27"/>
      <c r="I10" s="27">
        <f t="shared" si="0"/>
        <v>0.70953703703708015</v>
      </c>
      <c r="J10" s="8"/>
    </row>
    <row r="11" spans="1:12" x14ac:dyDescent="0.25">
      <c r="A11" s="6" t="s">
        <v>74</v>
      </c>
      <c r="B11" s="7" t="s">
        <v>75</v>
      </c>
      <c r="C11" s="2" t="s">
        <v>186</v>
      </c>
      <c r="D11" s="2" t="s">
        <v>187</v>
      </c>
      <c r="E11" s="33">
        <v>46072</v>
      </c>
      <c r="F11" s="27">
        <f t="shared" si="2"/>
        <v>0.2877893518525525</v>
      </c>
      <c r="G11" s="27"/>
      <c r="H11" s="27"/>
      <c r="I11" s="27">
        <f t="shared" si="0"/>
        <v>0.70924768518307246</v>
      </c>
      <c r="J11" s="8"/>
    </row>
    <row r="12" spans="1:12" x14ac:dyDescent="0.25">
      <c r="A12" s="6" t="s">
        <v>74</v>
      </c>
      <c r="B12" s="7" t="s">
        <v>75</v>
      </c>
      <c r="C12" s="2" t="s">
        <v>188</v>
      </c>
      <c r="D12" s="2" t="s">
        <v>189</v>
      </c>
      <c r="E12" s="33">
        <v>46073</v>
      </c>
      <c r="F12" s="27">
        <f t="shared" si="2"/>
        <v>0.29460648148233304</v>
      </c>
      <c r="G12" s="27"/>
      <c r="H12" s="27"/>
      <c r="I12" s="27">
        <f t="shared" si="0"/>
        <v>0.52385416666948004</v>
      </c>
      <c r="J12" s="8" t="s">
        <v>261</v>
      </c>
    </row>
    <row r="13" spans="1:12" x14ac:dyDescent="0.25">
      <c r="A13" s="6" t="s">
        <v>74</v>
      </c>
      <c r="B13" s="7" t="s">
        <v>75</v>
      </c>
      <c r="C13" s="2" t="s">
        <v>190</v>
      </c>
      <c r="D13" s="2" t="s">
        <v>191</v>
      </c>
      <c r="E13" s="33">
        <v>46074</v>
      </c>
      <c r="F13" s="27">
        <f t="shared" si="2"/>
        <v>0.29781250000087311</v>
      </c>
      <c r="G13" s="27"/>
      <c r="H13" s="27"/>
      <c r="I13" s="27">
        <f t="shared" si="0"/>
        <v>0.70945601852145046</v>
      </c>
      <c r="J13" s="8"/>
    </row>
    <row r="14" spans="1:12" x14ac:dyDescent="0.25">
      <c r="A14" s="6" t="s">
        <v>74</v>
      </c>
      <c r="B14" s="7" t="s">
        <v>75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74</v>
      </c>
      <c r="B15" s="7" t="s">
        <v>75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74</v>
      </c>
      <c r="B16" s="7" t="s">
        <v>75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74</v>
      </c>
      <c r="B17" s="7" t="s">
        <v>75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74</v>
      </c>
      <c r="B18" s="7" t="s">
        <v>75</v>
      </c>
      <c r="C18" s="28"/>
      <c r="D18" s="28"/>
      <c r="E18" s="33"/>
      <c r="F18" s="27"/>
      <c r="G18" s="29"/>
      <c r="H18" s="29"/>
      <c r="I18" s="27"/>
      <c r="J18" s="8"/>
    </row>
    <row r="19" spans="1:10" ht="15" customHeight="1" x14ac:dyDescent="0.25">
      <c r="A19" s="6" t="s">
        <v>74</v>
      </c>
      <c r="B19" s="7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1170" priority="25" operator="equal">
      <formula>"UNDERTIME"</formula>
    </cfRule>
  </conditionalFormatting>
  <conditionalFormatting sqref="F3:H18">
    <cfRule type="cellIs" dxfId="1169" priority="1" operator="equal">
      <formula>"UNDERTIME"</formula>
    </cfRule>
  </conditionalFormatting>
  <conditionalFormatting sqref="F1:J2 F19:J1048576">
    <cfRule type="cellIs" dxfId="1168" priority="16" operator="equal">
      <formula>"UNDERTIME"</formula>
    </cfRule>
  </conditionalFormatting>
  <conditionalFormatting sqref="J1:J2 J14:J1048576">
    <cfRule type="cellIs" dxfId="1167" priority="17" operator="equal">
      <formula>"UNDERTIME"</formula>
    </cfRule>
  </conditionalFormatting>
  <conditionalFormatting sqref="J1:J14">
    <cfRule type="cellIs" dxfId="1166" priority="7" operator="equal">
      <formula>"OB"</formula>
    </cfRule>
  </conditionalFormatting>
  <conditionalFormatting sqref="J1:J1048576">
    <cfRule type="cellIs" dxfId="1165" priority="6" operator="equal">
      <formula>"HOLIDAY"</formula>
    </cfRule>
    <cfRule type="cellIs" dxfId="1164" priority="8" operator="equal">
      <formula>"RESTDAY"</formula>
    </cfRule>
    <cfRule type="cellIs" dxfId="1163" priority="9" operator="equal">
      <formula>"HALF DAY"</formula>
    </cfRule>
    <cfRule type="cellIs" dxfId="1162" priority="10" operator="equal">
      <formula>"ABSENT"</formula>
    </cfRule>
    <cfRule type="cellIs" dxfId="1161" priority="12" operator="equal">
      <formula>"ABSENT"</formula>
    </cfRule>
  </conditionalFormatting>
  <conditionalFormatting sqref="J3:J14">
    <cfRule type="cellIs" dxfId="1160" priority="11" operator="equal">
      <formula>"UNDERTIME"</formula>
    </cfRule>
  </conditionalFormatting>
  <conditionalFormatting sqref="J3:J18">
    <cfRule type="cellIs" dxfId="1159" priority="5" operator="equal">
      <formula>"UNDERTIME"</formula>
    </cfRule>
  </conditionalFormatting>
  <conditionalFormatting sqref="J5:J1048576">
    <cfRule type="cellIs" dxfId="1158" priority="14" operator="equal">
      <formula>"OB"</formula>
    </cfRule>
  </conditionalFormatting>
  <conditionalFormatting sqref="J6">
    <cfRule type="cellIs" dxfId="1157" priority="4" operator="equal">
      <formula>"OB"</formula>
    </cfRule>
  </conditionalFormatting>
  <conditionalFormatting sqref="J7">
    <cfRule type="cellIs" dxfId="1156" priority="15" operator="equal">
      <formula>"OB"</formula>
    </cfRule>
  </conditionalFormatting>
  <conditionalFormatting sqref="J13">
    <cfRule type="cellIs" dxfId="1155" priority="13" operator="equal">
      <formula>"OB"</formula>
    </cfRule>
  </conditionalFormatting>
  <conditionalFormatting sqref="J14">
    <cfRule type="cellIs" dxfId="1154" priority="3" operator="equal">
      <formula>"OB"</formula>
    </cfRule>
    <cfRule type="cellIs" dxfId="1153" priority="18" operator="equal">
      <formula>"OB"</formula>
    </cfRule>
  </conditionalFormatting>
  <conditionalFormatting sqref="J14:J1048576">
    <cfRule type="cellIs" dxfId="1152" priority="19" operator="equal">
      <formula>"OB"</formula>
    </cfRule>
  </conditionalFormatting>
  <conditionalFormatting sqref="J17:J18">
    <cfRule type="cellIs" dxfId="1151" priority="20" operator="equal">
      <formula>"OB"</formula>
    </cfRule>
  </conditionalFormatting>
  <conditionalFormatting sqref="K6:K8">
    <cfRule type="containsText" dxfId="1150" priority="43" operator="containsText" text="SUNDAY">
      <formula>NOT(ISERROR(SEARCH("SUNDAY",K6)))</formula>
    </cfRule>
    <cfRule type="containsText" dxfId="1149" priority="44" operator="containsText" text="HOLIDAY">
      <formula>NOT(ISERROR(SEARCH("HOLIDAY",K6)))</formula>
    </cfRule>
  </conditionalFormatting>
  <conditionalFormatting sqref="K9">
    <cfRule type="containsText" dxfId="1148" priority="45" operator="containsText" text="SUNDAY">
      <formula>NOT(ISERROR(SEARCH("SUNDAY",K9)))</formula>
    </cfRule>
    <cfRule type="containsText" dxfId="1147" priority="46" operator="containsText" text="HOLIDAY">
      <formula>NOT(ISERROR(SEARCH("HOLIDAY",K9)))</formula>
    </cfRule>
  </conditionalFormatting>
  <conditionalFormatting sqref="L5:L9">
    <cfRule type="containsText" dxfId="1146" priority="41" operator="containsText" text="SUNDAY">
      <formula>NOT(ISERROR(SEARCH("SUNDAY",L5)))</formula>
    </cfRule>
    <cfRule type="containsText" dxfId="1145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BECB-0B3C-446C-BCA4-6C482D3CB95C}">
  <dimension ref="A1:L26"/>
  <sheetViews>
    <sheetView zoomScaleNormal="100" zoomScaleSheetLayoutView="93" workbookViewId="0">
      <selection activeCell="F13" sqref="F13"/>
    </sheetView>
  </sheetViews>
  <sheetFormatPr defaultColWidth="8.85546875" defaultRowHeight="15" x14ac:dyDescent="0.25"/>
  <cols>
    <col min="1" max="1" width="13.28515625" style="1" bestFit="1" customWidth="1"/>
    <col min="2" max="2" width="22.7109375" style="1" bestFit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34"/>
      <c r="B2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20</v>
      </c>
      <c r="B3" s="7" t="s">
        <v>21</v>
      </c>
      <c r="C3" s="2" t="s">
        <v>192</v>
      </c>
      <c r="D3" s="2" t="s">
        <v>193</v>
      </c>
      <c r="E3" s="33">
        <v>46064</v>
      </c>
      <c r="F3" s="27">
        <f>C3-E3</f>
        <v>0.32546296296641231</v>
      </c>
      <c r="G3" s="27"/>
      <c r="H3" s="27"/>
      <c r="I3" s="27">
        <f t="shared" ref="I3:I13" si="0">D3-E3</f>
        <v>0.70987268518365454</v>
      </c>
      <c r="J3" s="8"/>
    </row>
    <row r="4" spans="1:12" x14ac:dyDescent="0.25">
      <c r="A4" s="6" t="s">
        <v>20</v>
      </c>
      <c r="B4" s="7" t="s">
        <v>21</v>
      </c>
      <c r="C4" s="2" t="s">
        <v>194</v>
      </c>
      <c r="D4" s="2" t="s">
        <v>195</v>
      </c>
      <c r="E4" s="33">
        <v>46065</v>
      </c>
      <c r="F4" s="27">
        <f t="shared" ref="F4:F5" si="1">C4-E4</f>
        <v>0.32709490740671754</v>
      </c>
      <c r="G4" s="27"/>
      <c r="H4" s="27"/>
      <c r="I4" s="27">
        <f t="shared" si="0"/>
        <v>0.70978009259124519</v>
      </c>
      <c r="J4" s="8"/>
    </row>
    <row r="5" spans="1:12" x14ac:dyDescent="0.25">
      <c r="A5" s="6" t="s">
        <v>20</v>
      </c>
      <c r="B5" s="7" t="s">
        <v>21</v>
      </c>
      <c r="C5" s="2" t="s">
        <v>196</v>
      </c>
      <c r="D5" s="2" t="s">
        <v>197</v>
      </c>
      <c r="E5" s="33">
        <v>46066</v>
      </c>
      <c r="F5" s="27">
        <f t="shared" si="1"/>
        <v>0.33048611111007631</v>
      </c>
      <c r="G5" s="27"/>
      <c r="H5" s="27"/>
      <c r="I5" s="27">
        <f t="shared" si="0"/>
        <v>0.70876157407474238</v>
      </c>
      <c r="J5" s="8"/>
      <c r="K5" s="3" t="s">
        <v>6</v>
      </c>
      <c r="L5" s="4">
        <v>0</v>
      </c>
    </row>
    <row r="6" spans="1:12" x14ac:dyDescent="0.25">
      <c r="A6" s="6" t="s">
        <v>20</v>
      </c>
      <c r="B6" s="7" t="s">
        <v>21</v>
      </c>
      <c r="C6" s="2"/>
      <c r="D6" s="2" t="s">
        <v>198</v>
      </c>
      <c r="E6" s="33">
        <v>46067</v>
      </c>
      <c r="F6" s="27">
        <v>0.32291666666666669</v>
      </c>
      <c r="G6" s="27"/>
      <c r="H6" s="27"/>
      <c r="I6" s="27">
        <f t="shared" si="0"/>
        <v>0.70859953703620704</v>
      </c>
      <c r="J6" s="8"/>
      <c r="K6" s="3" t="s">
        <v>7</v>
      </c>
      <c r="L6" s="4">
        <v>0</v>
      </c>
    </row>
    <row r="7" spans="1:12" x14ac:dyDescent="0.25">
      <c r="A7" s="6" t="s">
        <v>20</v>
      </c>
      <c r="B7" s="7" t="s">
        <v>21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20</v>
      </c>
      <c r="B8" s="7" t="s">
        <v>21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20</v>
      </c>
      <c r="B9" s="7" t="s">
        <v>21</v>
      </c>
      <c r="C9" s="2" t="s">
        <v>199</v>
      </c>
      <c r="D9" s="2" t="s">
        <v>200</v>
      </c>
      <c r="E9" s="33">
        <v>46070</v>
      </c>
      <c r="F9" s="27">
        <f t="shared" ref="F9:F13" si="2">C9-E9</f>
        <v>0.32028935185371665</v>
      </c>
      <c r="G9" s="27"/>
      <c r="H9" s="27"/>
      <c r="I9" s="27">
        <f t="shared" si="0"/>
        <v>0.70920138889050577</v>
      </c>
      <c r="J9" s="8"/>
      <c r="K9" s="3" t="s">
        <v>10</v>
      </c>
      <c r="L9" s="4">
        <v>0</v>
      </c>
    </row>
    <row r="10" spans="1:12" x14ac:dyDescent="0.25">
      <c r="A10" s="6" t="s">
        <v>20</v>
      </c>
      <c r="B10" s="7" t="s">
        <v>21</v>
      </c>
      <c r="C10" s="2" t="s">
        <v>201</v>
      </c>
      <c r="D10" s="2" t="s">
        <v>202</v>
      </c>
      <c r="E10" s="33">
        <v>46071</v>
      </c>
      <c r="F10" s="27">
        <f t="shared" si="2"/>
        <v>0.31959490740700858</v>
      </c>
      <c r="G10" s="27"/>
      <c r="H10" s="27"/>
      <c r="I10" s="27">
        <f t="shared" si="0"/>
        <v>0.70881944444408873</v>
      </c>
      <c r="J10" s="8"/>
    </row>
    <row r="11" spans="1:12" x14ac:dyDescent="0.25">
      <c r="A11" s="6" t="s">
        <v>20</v>
      </c>
      <c r="B11" s="7" t="s">
        <v>21</v>
      </c>
      <c r="C11" s="2" t="s">
        <v>203</v>
      </c>
      <c r="D11" s="2" t="s">
        <v>204</v>
      </c>
      <c r="E11" s="33">
        <v>46072</v>
      </c>
      <c r="F11" s="27">
        <f t="shared" si="2"/>
        <v>0.31863425925985212</v>
      </c>
      <c r="G11" s="27"/>
      <c r="H11" s="27"/>
      <c r="I11" s="27">
        <f t="shared" si="0"/>
        <v>0.70944444444467081</v>
      </c>
      <c r="J11" s="8"/>
    </row>
    <row r="12" spans="1:12" x14ac:dyDescent="0.25">
      <c r="A12" s="6" t="s">
        <v>20</v>
      </c>
      <c r="B12" s="7" t="s">
        <v>21</v>
      </c>
      <c r="C12" s="2"/>
      <c r="D12" s="2" t="s">
        <v>205</v>
      </c>
      <c r="E12" s="33">
        <v>46073</v>
      </c>
      <c r="F12" s="27">
        <v>0.32708333333333334</v>
      </c>
      <c r="G12" s="27"/>
      <c r="H12" s="27"/>
      <c r="I12" s="27">
        <f t="shared" si="0"/>
        <v>0.70855324074364034</v>
      </c>
      <c r="J12" s="8"/>
    </row>
    <row r="13" spans="1:12" x14ac:dyDescent="0.25">
      <c r="A13" s="6" t="s">
        <v>20</v>
      </c>
      <c r="B13" s="7" t="s">
        <v>21</v>
      </c>
      <c r="C13" s="2" t="s">
        <v>206</v>
      </c>
      <c r="D13" s="2" t="s">
        <v>207</v>
      </c>
      <c r="E13" s="33">
        <v>46074</v>
      </c>
      <c r="F13" s="27">
        <f t="shared" si="2"/>
        <v>0.32410879629605915</v>
      </c>
      <c r="G13" s="27"/>
      <c r="H13" s="27"/>
      <c r="I13" s="27">
        <f t="shared" si="0"/>
        <v>0.71074074073840166</v>
      </c>
      <c r="J13" s="8"/>
    </row>
    <row r="14" spans="1:12" x14ac:dyDescent="0.25">
      <c r="A14" s="6" t="s">
        <v>20</v>
      </c>
      <c r="B14" s="7" t="s">
        <v>21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20</v>
      </c>
      <c r="B15" s="7" t="s">
        <v>21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ht="15.75" customHeight="1" x14ac:dyDescent="0.25">
      <c r="A16" s="6" t="s">
        <v>20</v>
      </c>
      <c r="B16" s="7" t="s">
        <v>21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20</v>
      </c>
      <c r="B17" s="7" t="s">
        <v>21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20</v>
      </c>
      <c r="B18" s="7" t="s">
        <v>21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A19" s="5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1144" priority="25" operator="equal">
      <formula>"UNDERTIME"</formula>
    </cfRule>
  </conditionalFormatting>
  <conditionalFormatting sqref="F3:H18">
    <cfRule type="cellIs" dxfId="1143" priority="1" operator="equal">
      <formula>"UNDERTIME"</formula>
    </cfRule>
  </conditionalFormatting>
  <conditionalFormatting sqref="F1:J2 F19:J1048576">
    <cfRule type="cellIs" dxfId="1142" priority="16" operator="equal">
      <formula>"UNDERTIME"</formula>
    </cfRule>
  </conditionalFormatting>
  <conditionalFormatting sqref="J1:J2 J14:J1048576">
    <cfRule type="cellIs" dxfId="1141" priority="17" operator="equal">
      <formula>"UNDERTIME"</formula>
    </cfRule>
  </conditionalFormatting>
  <conditionalFormatting sqref="J1:J14">
    <cfRule type="cellIs" dxfId="1140" priority="7" operator="equal">
      <formula>"OB"</formula>
    </cfRule>
  </conditionalFormatting>
  <conditionalFormatting sqref="J1:J1048576">
    <cfRule type="cellIs" dxfId="1139" priority="6" operator="equal">
      <formula>"HOLIDAY"</formula>
    </cfRule>
    <cfRule type="cellIs" dxfId="1138" priority="8" operator="equal">
      <formula>"RESTDAY"</formula>
    </cfRule>
    <cfRule type="cellIs" dxfId="1137" priority="9" operator="equal">
      <formula>"HALF DAY"</formula>
    </cfRule>
    <cfRule type="cellIs" dxfId="1136" priority="10" operator="equal">
      <formula>"ABSENT"</formula>
    </cfRule>
    <cfRule type="cellIs" dxfId="1135" priority="12" operator="equal">
      <formula>"ABSENT"</formula>
    </cfRule>
  </conditionalFormatting>
  <conditionalFormatting sqref="J3:J14">
    <cfRule type="cellIs" dxfId="1134" priority="11" operator="equal">
      <formula>"UNDERTIME"</formula>
    </cfRule>
  </conditionalFormatting>
  <conditionalFormatting sqref="J3:J18">
    <cfRule type="cellIs" dxfId="1133" priority="5" operator="equal">
      <formula>"UNDERTIME"</formula>
    </cfRule>
  </conditionalFormatting>
  <conditionalFormatting sqref="J5:J1048576">
    <cfRule type="cellIs" dxfId="1132" priority="14" operator="equal">
      <formula>"OB"</formula>
    </cfRule>
  </conditionalFormatting>
  <conditionalFormatting sqref="J6">
    <cfRule type="cellIs" dxfId="1131" priority="4" operator="equal">
      <formula>"OB"</formula>
    </cfRule>
  </conditionalFormatting>
  <conditionalFormatting sqref="J7">
    <cfRule type="cellIs" dxfId="1130" priority="15" operator="equal">
      <formula>"OB"</formula>
    </cfRule>
  </conditionalFormatting>
  <conditionalFormatting sqref="J13">
    <cfRule type="cellIs" dxfId="1129" priority="13" operator="equal">
      <formula>"OB"</formula>
    </cfRule>
  </conditionalFormatting>
  <conditionalFormatting sqref="J14">
    <cfRule type="cellIs" dxfId="1128" priority="3" operator="equal">
      <formula>"OB"</formula>
    </cfRule>
    <cfRule type="cellIs" dxfId="1127" priority="18" operator="equal">
      <formula>"OB"</formula>
    </cfRule>
  </conditionalFormatting>
  <conditionalFormatting sqref="J14:J1048576">
    <cfRule type="cellIs" dxfId="1126" priority="19" operator="equal">
      <formula>"OB"</formula>
    </cfRule>
  </conditionalFormatting>
  <conditionalFormatting sqref="J17:J18">
    <cfRule type="cellIs" dxfId="1125" priority="20" operator="equal">
      <formula>"OB"</formula>
    </cfRule>
  </conditionalFormatting>
  <conditionalFormatting sqref="K6:K8">
    <cfRule type="containsText" dxfId="1124" priority="43" operator="containsText" text="SUNDAY">
      <formula>NOT(ISERROR(SEARCH("SUNDAY",K6)))</formula>
    </cfRule>
    <cfRule type="containsText" dxfId="1123" priority="44" operator="containsText" text="HOLIDAY">
      <formula>NOT(ISERROR(SEARCH("HOLIDAY",K6)))</formula>
    </cfRule>
  </conditionalFormatting>
  <conditionalFormatting sqref="K9">
    <cfRule type="containsText" dxfId="1122" priority="45" operator="containsText" text="SUNDAY">
      <formula>NOT(ISERROR(SEARCH("SUNDAY",K9)))</formula>
    </cfRule>
    <cfRule type="containsText" dxfId="1121" priority="46" operator="containsText" text="HOLIDAY">
      <formula>NOT(ISERROR(SEARCH("HOLIDAY",K9)))</formula>
    </cfRule>
  </conditionalFormatting>
  <conditionalFormatting sqref="L5:L9">
    <cfRule type="containsText" dxfId="1120" priority="41" operator="containsText" text="SUNDAY">
      <formula>NOT(ISERROR(SEARCH("SUNDAY",L5)))</formula>
    </cfRule>
    <cfRule type="containsText" dxfId="1119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1F6FB-0C6D-41E1-A9D0-41312030E6E7}">
  <dimension ref="A1:L26"/>
  <sheetViews>
    <sheetView zoomScaleNormal="100" zoomScaleSheetLayoutView="93" workbookViewId="0">
      <selection activeCell="L7" sqref="L7"/>
    </sheetView>
  </sheetViews>
  <sheetFormatPr defaultColWidth="8.85546875" defaultRowHeight="15" x14ac:dyDescent="0.25"/>
  <cols>
    <col min="1" max="1" width="13.28515625" style="1" bestFit="1" customWidth="1"/>
    <col min="2" max="2" width="17.7109375" style="1" bestFit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34"/>
      <c r="B2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95</v>
      </c>
      <c r="B3" s="7" t="s">
        <v>100</v>
      </c>
      <c r="C3" s="2" t="s">
        <v>208</v>
      </c>
      <c r="D3" s="2" t="s">
        <v>209</v>
      </c>
      <c r="E3" s="33">
        <v>46064</v>
      </c>
      <c r="F3" s="27">
        <f>C3-E3</f>
        <v>0.33290509258949896</v>
      </c>
      <c r="G3" s="27"/>
      <c r="H3" s="27"/>
      <c r="I3" s="27">
        <f t="shared" ref="I3:I13" si="0">D3-E3</f>
        <v>0.70856481481314404</v>
      </c>
      <c r="J3" s="8"/>
    </row>
    <row r="4" spans="1:12" x14ac:dyDescent="0.25">
      <c r="A4" s="6" t="s">
        <v>95</v>
      </c>
      <c r="B4" s="7" t="s">
        <v>100</v>
      </c>
      <c r="C4" s="2" t="s">
        <v>210</v>
      </c>
      <c r="D4" s="2" t="s">
        <v>211</v>
      </c>
      <c r="E4" s="33">
        <v>46065</v>
      </c>
      <c r="F4" s="27">
        <f t="shared" ref="F4:F6" si="1">C4-E4</f>
        <v>0.33173611111124046</v>
      </c>
      <c r="G4" s="27"/>
      <c r="H4" s="27"/>
      <c r="I4" s="27">
        <f t="shared" si="0"/>
        <v>0.70862268518249039</v>
      </c>
      <c r="J4" s="8"/>
    </row>
    <row r="5" spans="1:12" x14ac:dyDescent="0.25">
      <c r="A5" s="6" t="s">
        <v>95</v>
      </c>
      <c r="B5" s="7" t="s">
        <v>100</v>
      </c>
      <c r="C5" s="2" t="s">
        <v>212</v>
      </c>
      <c r="D5" s="2" t="s">
        <v>213</v>
      </c>
      <c r="E5" s="33">
        <v>46066</v>
      </c>
      <c r="F5" s="27">
        <f t="shared" si="1"/>
        <v>0.33086805555649335</v>
      </c>
      <c r="G5" s="27"/>
      <c r="H5" s="27"/>
      <c r="I5" s="27">
        <f t="shared" si="0"/>
        <v>0.70854166666686069</v>
      </c>
      <c r="J5" s="8"/>
      <c r="K5" s="3" t="s">
        <v>6</v>
      </c>
      <c r="L5" s="4">
        <v>0</v>
      </c>
    </row>
    <row r="6" spans="1:12" x14ac:dyDescent="0.25">
      <c r="A6" s="6" t="s">
        <v>95</v>
      </c>
      <c r="B6" s="7" t="s">
        <v>100</v>
      </c>
      <c r="C6" s="2" t="s">
        <v>214</v>
      </c>
      <c r="D6" s="2" t="s">
        <v>215</v>
      </c>
      <c r="E6" s="33">
        <v>46067</v>
      </c>
      <c r="F6" s="27">
        <f t="shared" si="1"/>
        <v>0.33002314814802958</v>
      </c>
      <c r="G6" s="27"/>
      <c r="H6" s="27"/>
      <c r="I6" s="27">
        <f t="shared" si="0"/>
        <v>0.70847222222073469</v>
      </c>
      <c r="J6" s="8"/>
      <c r="K6" s="3" t="s">
        <v>7</v>
      </c>
      <c r="L6" s="4">
        <v>1.5</v>
      </c>
    </row>
    <row r="7" spans="1:12" x14ac:dyDescent="0.25">
      <c r="A7" s="6" t="s">
        <v>95</v>
      </c>
      <c r="B7" s="7" t="s">
        <v>100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f>11+40</f>
        <v>51</v>
      </c>
    </row>
    <row r="8" spans="1:12" x14ac:dyDescent="0.25">
      <c r="A8" s="6" t="s">
        <v>95</v>
      </c>
      <c r="B8" s="7" t="s">
        <v>100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95</v>
      </c>
      <c r="B9" s="7" t="s">
        <v>100</v>
      </c>
      <c r="C9" s="2" t="s">
        <v>216</v>
      </c>
      <c r="D9" s="2" t="s">
        <v>217</v>
      </c>
      <c r="E9" s="33">
        <v>46070</v>
      </c>
      <c r="F9" s="48">
        <f t="shared" ref="F9:F13" si="2">C9-E9</f>
        <v>0.34129629629751435</v>
      </c>
      <c r="G9" s="27"/>
      <c r="H9" s="27"/>
      <c r="I9" s="27">
        <f t="shared" si="0"/>
        <v>0.70953703703708015</v>
      </c>
      <c r="J9" s="8"/>
      <c r="K9" s="3" t="s">
        <v>10</v>
      </c>
      <c r="L9" s="4">
        <v>0</v>
      </c>
    </row>
    <row r="10" spans="1:12" x14ac:dyDescent="0.25">
      <c r="A10" s="6" t="s">
        <v>95</v>
      </c>
      <c r="B10" s="7" t="s">
        <v>100</v>
      </c>
      <c r="C10" s="2" t="s">
        <v>218</v>
      </c>
      <c r="D10" s="2" t="s">
        <v>219</v>
      </c>
      <c r="E10" s="33">
        <v>46071</v>
      </c>
      <c r="F10" s="48">
        <f t="shared" si="2"/>
        <v>0.36134259259415558</v>
      </c>
      <c r="G10" s="27"/>
      <c r="H10" s="27"/>
      <c r="I10" s="27">
        <f t="shared" si="0"/>
        <v>0.70876157407474238</v>
      </c>
      <c r="J10" s="8"/>
    </row>
    <row r="11" spans="1:12" x14ac:dyDescent="0.25">
      <c r="A11" s="6" t="s">
        <v>95</v>
      </c>
      <c r="B11" s="7" t="s">
        <v>100</v>
      </c>
      <c r="C11" s="2" t="s">
        <v>220</v>
      </c>
      <c r="D11" s="2" t="s">
        <v>221</v>
      </c>
      <c r="E11" s="33">
        <v>46072</v>
      </c>
      <c r="F11" s="27">
        <f t="shared" si="2"/>
        <v>0.32945601851679385</v>
      </c>
      <c r="G11" s="27"/>
      <c r="H11" s="27"/>
      <c r="I11" s="27">
        <f t="shared" si="0"/>
        <v>0.50020833333110204</v>
      </c>
      <c r="J11" s="8" t="s">
        <v>261</v>
      </c>
    </row>
    <row r="12" spans="1:12" x14ac:dyDescent="0.25">
      <c r="A12" s="6" t="s">
        <v>95</v>
      </c>
      <c r="B12" s="7" t="s">
        <v>100</v>
      </c>
      <c r="C12" s="2" t="s">
        <v>222</v>
      </c>
      <c r="D12" s="2" t="s">
        <v>223</v>
      </c>
      <c r="E12" s="33">
        <v>46073</v>
      </c>
      <c r="F12" s="27">
        <f t="shared" si="2"/>
        <v>0.32421296296524815</v>
      </c>
      <c r="G12" s="27"/>
      <c r="H12" s="27"/>
      <c r="I12" s="27">
        <f t="shared" si="0"/>
        <v>0.70961805555270985</v>
      </c>
      <c r="J12" s="8"/>
    </row>
    <row r="13" spans="1:12" x14ac:dyDescent="0.25">
      <c r="A13" s="6" t="s">
        <v>95</v>
      </c>
      <c r="B13" s="7" t="s">
        <v>100</v>
      </c>
      <c r="C13" s="2" t="s">
        <v>224</v>
      </c>
      <c r="D13" s="2" t="s">
        <v>225</v>
      </c>
      <c r="E13" s="33">
        <v>46074</v>
      </c>
      <c r="F13" s="27">
        <f t="shared" si="2"/>
        <v>0.33135416666482342</v>
      </c>
      <c r="G13" s="27"/>
      <c r="H13" s="27"/>
      <c r="I13" s="27">
        <f t="shared" si="0"/>
        <v>0.70982638889108784</v>
      </c>
      <c r="J13" s="8"/>
    </row>
    <row r="14" spans="1:12" x14ac:dyDescent="0.25">
      <c r="A14" s="6" t="s">
        <v>95</v>
      </c>
      <c r="B14" s="7" t="s">
        <v>100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95</v>
      </c>
      <c r="B15" s="7" t="s">
        <v>100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95</v>
      </c>
      <c r="B16" s="7" t="s">
        <v>100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95</v>
      </c>
      <c r="B17" s="7" t="s">
        <v>100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95</v>
      </c>
      <c r="B18" s="7" t="s">
        <v>100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A19" s="5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1118" priority="25" operator="equal">
      <formula>"UNDERTIME"</formula>
    </cfRule>
  </conditionalFormatting>
  <conditionalFormatting sqref="F3:H18">
    <cfRule type="cellIs" dxfId="1117" priority="1" operator="equal">
      <formula>"UNDERTIME"</formula>
    </cfRule>
  </conditionalFormatting>
  <conditionalFormatting sqref="F1:J2 F19:J1048576">
    <cfRule type="cellIs" dxfId="1116" priority="16" operator="equal">
      <formula>"UNDERTIME"</formula>
    </cfRule>
  </conditionalFormatting>
  <conditionalFormatting sqref="J1:J2 J14:J1048576">
    <cfRule type="cellIs" dxfId="1115" priority="17" operator="equal">
      <formula>"UNDERTIME"</formula>
    </cfRule>
  </conditionalFormatting>
  <conditionalFormatting sqref="J1:J14">
    <cfRule type="cellIs" dxfId="1114" priority="7" operator="equal">
      <formula>"OB"</formula>
    </cfRule>
  </conditionalFormatting>
  <conditionalFormatting sqref="J1:J1048576">
    <cfRule type="cellIs" dxfId="1113" priority="6" operator="equal">
      <formula>"HOLIDAY"</formula>
    </cfRule>
    <cfRule type="cellIs" dxfId="1112" priority="8" operator="equal">
      <formula>"RESTDAY"</formula>
    </cfRule>
    <cfRule type="cellIs" dxfId="1111" priority="9" operator="equal">
      <formula>"HALF DAY"</formula>
    </cfRule>
    <cfRule type="cellIs" dxfId="1110" priority="10" operator="equal">
      <formula>"ABSENT"</formula>
    </cfRule>
    <cfRule type="cellIs" dxfId="1109" priority="12" operator="equal">
      <formula>"ABSENT"</formula>
    </cfRule>
  </conditionalFormatting>
  <conditionalFormatting sqref="J3:J14">
    <cfRule type="cellIs" dxfId="1108" priority="11" operator="equal">
      <formula>"UNDERTIME"</formula>
    </cfRule>
  </conditionalFormatting>
  <conditionalFormatting sqref="J3:J18">
    <cfRule type="cellIs" dxfId="1107" priority="5" operator="equal">
      <formula>"UNDERTIME"</formula>
    </cfRule>
  </conditionalFormatting>
  <conditionalFormatting sqref="J5:J1048576">
    <cfRule type="cellIs" dxfId="1106" priority="14" operator="equal">
      <formula>"OB"</formula>
    </cfRule>
  </conditionalFormatting>
  <conditionalFormatting sqref="J6">
    <cfRule type="cellIs" dxfId="1105" priority="4" operator="equal">
      <formula>"OB"</formula>
    </cfRule>
  </conditionalFormatting>
  <conditionalFormatting sqref="J7">
    <cfRule type="cellIs" dxfId="1104" priority="15" operator="equal">
      <formula>"OB"</formula>
    </cfRule>
  </conditionalFormatting>
  <conditionalFormatting sqref="J13">
    <cfRule type="cellIs" dxfId="1103" priority="13" operator="equal">
      <formula>"OB"</formula>
    </cfRule>
  </conditionalFormatting>
  <conditionalFormatting sqref="J14">
    <cfRule type="cellIs" dxfId="1102" priority="3" operator="equal">
      <formula>"OB"</formula>
    </cfRule>
    <cfRule type="cellIs" dxfId="1101" priority="18" operator="equal">
      <formula>"OB"</formula>
    </cfRule>
  </conditionalFormatting>
  <conditionalFormatting sqref="J14:J1048576">
    <cfRule type="cellIs" dxfId="1100" priority="19" operator="equal">
      <formula>"OB"</formula>
    </cfRule>
  </conditionalFormatting>
  <conditionalFormatting sqref="J17:J18">
    <cfRule type="cellIs" dxfId="1099" priority="20" operator="equal">
      <formula>"OB"</formula>
    </cfRule>
  </conditionalFormatting>
  <conditionalFormatting sqref="K6:K8">
    <cfRule type="containsText" dxfId="1098" priority="43" operator="containsText" text="SUNDAY">
      <formula>NOT(ISERROR(SEARCH("SUNDAY",K6)))</formula>
    </cfRule>
    <cfRule type="containsText" dxfId="1097" priority="44" operator="containsText" text="HOLIDAY">
      <formula>NOT(ISERROR(SEARCH("HOLIDAY",K6)))</formula>
    </cfRule>
  </conditionalFormatting>
  <conditionalFormatting sqref="K9">
    <cfRule type="containsText" dxfId="1096" priority="45" operator="containsText" text="SUNDAY">
      <formula>NOT(ISERROR(SEARCH("SUNDAY",K9)))</formula>
    </cfRule>
    <cfRule type="containsText" dxfId="1095" priority="46" operator="containsText" text="HOLIDAY">
      <formula>NOT(ISERROR(SEARCH("HOLIDAY",K9)))</formula>
    </cfRule>
  </conditionalFormatting>
  <conditionalFormatting sqref="L5:L9">
    <cfRule type="containsText" dxfId="1094" priority="41" operator="containsText" text="SUNDAY">
      <formula>NOT(ISERROR(SEARCH("SUNDAY",L5)))</formula>
    </cfRule>
    <cfRule type="containsText" dxfId="1093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0910-86BB-4A28-98A2-BB73B62DE80D}">
  <dimension ref="A1:L26"/>
  <sheetViews>
    <sheetView zoomScaleNormal="100" zoomScaleSheetLayoutView="93" workbookViewId="0">
      <selection activeCell="L6" sqref="L6"/>
    </sheetView>
  </sheetViews>
  <sheetFormatPr defaultColWidth="8.85546875" defaultRowHeight="15" x14ac:dyDescent="0.25"/>
  <cols>
    <col min="1" max="1" width="13.28515625" style="1" bestFit="1" customWidth="1"/>
    <col min="2" max="2" width="17.42578125" style="1" bestFit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83</v>
      </c>
      <c r="B3" s="7" t="s">
        <v>84</v>
      </c>
      <c r="C3" s="2" t="s">
        <v>226</v>
      </c>
      <c r="D3" s="2" t="s">
        <v>227</v>
      </c>
      <c r="E3" s="33">
        <v>46064</v>
      </c>
      <c r="F3" s="27">
        <f>C3-E3</f>
        <v>0.32575231481314404</v>
      </c>
      <c r="G3" s="27"/>
      <c r="H3" s="27"/>
      <c r="I3" s="27">
        <f t="shared" ref="I3:I13" si="0">D3-E3</f>
        <v>0.71353009259473765</v>
      </c>
      <c r="J3" s="8"/>
    </row>
    <row r="4" spans="1:12" x14ac:dyDescent="0.25">
      <c r="A4" s="6" t="s">
        <v>83</v>
      </c>
      <c r="B4" s="7" t="s">
        <v>84</v>
      </c>
      <c r="C4" s="2" t="s">
        <v>228</v>
      </c>
      <c r="D4" s="2" t="s">
        <v>229</v>
      </c>
      <c r="E4" s="33">
        <v>46065</v>
      </c>
      <c r="F4" s="27">
        <f t="shared" ref="F4:F6" si="1">C4-E4</f>
        <v>0.32603009259037208</v>
      </c>
      <c r="G4" s="27"/>
      <c r="H4" s="27"/>
      <c r="I4" s="27">
        <f t="shared" si="0"/>
        <v>0.70944444444467081</v>
      </c>
      <c r="J4" s="8"/>
    </row>
    <row r="5" spans="1:12" x14ac:dyDescent="0.25">
      <c r="A5" s="6" t="s">
        <v>83</v>
      </c>
      <c r="B5" s="7" t="s">
        <v>84</v>
      </c>
      <c r="C5" s="2" t="s">
        <v>230</v>
      </c>
      <c r="D5" s="2" t="s">
        <v>231</v>
      </c>
      <c r="E5" s="33">
        <v>46066</v>
      </c>
      <c r="F5" s="27">
        <f t="shared" si="1"/>
        <v>0.32768518518423662</v>
      </c>
      <c r="G5" s="27"/>
      <c r="H5" s="27"/>
      <c r="I5" s="27">
        <f t="shared" si="0"/>
        <v>0.70856481481314404</v>
      </c>
      <c r="J5" s="8"/>
      <c r="K5" s="3" t="s">
        <v>6</v>
      </c>
      <c r="L5" s="4">
        <v>0</v>
      </c>
    </row>
    <row r="6" spans="1:12" x14ac:dyDescent="0.25">
      <c r="A6" s="6" t="s">
        <v>83</v>
      </c>
      <c r="B6" s="7" t="s">
        <v>84</v>
      </c>
      <c r="C6" s="2" t="s">
        <v>232</v>
      </c>
      <c r="D6" s="2" t="s">
        <v>233</v>
      </c>
      <c r="E6" s="33">
        <v>46067</v>
      </c>
      <c r="F6" s="27">
        <f t="shared" si="1"/>
        <v>0.49640046296553919</v>
      </c>
      <c r="G6" s="27"/>
      <c r="H6" s="27"/>
      <c r="I6" s="27">
        <f t="shared" si="0"/>
        <v>0.71412037037225673</v>
      </c>
      <c r="J6" s="8" t="s">
        <v>261</v>
      </c>
      <c r="K6" s="3" t="s">
        <v>7</v>
      </c>
      <c r="L6" s="4">
        <v>1.5</v>
      </c>
    </row>
    <row r="7" spans="1:12" x14ac:dyDescent="0.25">
      <c r="A7" s="6" t="s">
        <v>83</v>
      </c>
      <c r="B7" s="7" t="s">
        <v>84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83</v>
      </c>
      <c r="B8" s="7" t="s">
        <v>84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83</v>
      </c>
      <c r="B9" s="7" t="s">
        <v>84</v>
      </c>
      <c r="C9" s="2" t="s">
        <v>234</v>
      </c>
      <c r="D9" s="2" t="s">
        <v>235</v>
      </c>
      <c r="E9" s="33">
        <v>46070</v>
      </c>
      <c r="F9" s="27">
        <f t="shared" ref="F9:F13" si="2">C9-E9</f>
        <v>0.31660879629635019</v>
      </c>
      <c r="G9" s="27"/>
      <c r="H9" s="27"/>
      <c r="I9" s="27">
        <f t="shared" si="0"/>
        <v>0.70856481481314404</v>
      </c>
      <c r="J9" s="8"/>
      <c r="K9" s="3" t="s">
        <v>10</v>
      </c>
      <c r="L9" s="4">
        <v>0</v>
      </c>
    </row>
    <row r="10" spans="1:12" x14ac:dyDescent="0.25">
      <c r="A10" s="6" t="s">
        <v>83</v>
      </c>
      <c r="B10" s="7" t="s">
        <v>84</v>
      </c>
      <c r="C10" s="2" t="s">
        <v>236</v>
      </c>
      <c r="D10" s="2" t="s">
        <v>237</v>
      </c>
      <c r="E10" s="33">
        <v>46071</v>
      </c>
      <c r="F10" s="27">
        <f t="shared" si="2"/>
        <v>0.31837962962890742</v>
      </c>
      <c r="G10" s="27"/>
      <c r="H10" s="27"/>
      <c r="I10" s="27">
        <f t="shared" si="0"/>
        <v>0.70886574074393138</v>
      </c>
      <c r="J10" s="8"/>
    </row>
    <row r="11" spans="1:12" x14ac:dyDescent="0.25">
      <c r="A11" s="6" t="s">
        <v>83</v>
      </c>
      <c r="B11" s="7" t="s">
        <v>84</v>
      </c>
      <c r="C11" s="2" t="s">
        <v>238</v>
      </c>
      <c r="D11" s="2" t="s">
        <v>239</v>
      </c>
      <c r="E11" s="33">
        <v>46072</v>
      </c>
      <c r="F11" s="27">
        <f t="shared" si="2"/>
        <v>0.32163194444729015</v>
      </c>
      <c r="G11" s="27"/>
      <c r="H11" s="27"/>
      <c r="I11" s="27">
        <f t="shared" si="0"/>
        <v>0.70863425925927004</v>
      </c>
      <c r="J11" s="8"/>
    </row>
    <row r="12" spans="1:12" x14ac:dyDescent="0.25">
      <c r="A12" s="6" t="s">
        <v>83</v>
      </c>
      <c r="B12" s="7" t="s">
        <v>84</v>
      </c>
      <c r="C12" s="2" t="s">
        <v>240</v>
      </c>
      <c r="D12" s="2" t="s">
        <v>241</v>
      </c>
      <c r="E12" s="33">
        <v>46073</v>
      </c>
      <c r="F12" s="27">
        <f t="shared" si="2"/>
        <v>0.32085648148495238</v>
      </c>
      <c r="G12" s="27"/>
      <c r="H12" s="27"/>
      <c r="I12" s="27">
        <f t="shared" si="0"/>
        <v>0.71443287037254777</v>
      </c>
      <c r="J12" s="8"/>
    </row>
    <row r="13" spans="1:12" x14ac:dyDescent="0.25">
      <c r="A13" s="6" t="s">
        <v>83</v>
      </c>
      <c r="B13" s="7" t="s">
        <v>84</v>
      </c>
      <c r="C13" s="2" t="s">
        <v>242</v>
      </c>
      <c r="D13" s="2" t="s">
        <v>243</v>
      </c>
      <c r="E13" s="33">
        <v>46074</v>
      </c>
      <c r="F13" s="27">
        <f t="shared" si="2"/>
        <v>0.32089120370073942</v>
      </c>
      <c r="G13" s="27"/>
      <c r="H13" s="27"/>
      <c r="I13" s="27">
        <f t="shared" si="0"/>
        <v>0.70901620370568708</v>
      </c>
      <c r="J13" s="8"/>
    </row>
    <row r="14" spans="1:12" x14ac:dyDescent="0.25">
      <c r="A14" s="6" t="s">
        <v>83</v>
      </c>
      <c r="B14" s="7" t="s">
        <v>84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83</v>
      </c>
      <c r="B15" s="7" t="s">
        <v>84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83</v>
      </c>
      <c r="B16" s="7" t="s">
        <v>84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83</v>
      </c>
      <c r="B17" s="7" t="s">
        <v>84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83</v>
      </c>
      <c r="B18" s="7" t="s">
        <v>84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A19" s="5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1092" priority="25" operator="equal">
      <formula>"UNDERTIME"</formula>
    </cfRule>
  </conditionalFormatting>
  <conditionalFormatting sqref="F3:H18">
    <cfRule type="cellIs" dxfId="1091" priority="1" operator="equal">
      <formula>"UNDERTIME"</formula>
    </cfRule>
  </conditionalFormatting>
  <conditionalFormatting sqref="F1:J2 F19:J1048576">
    <cfRule type="cellIs" dxfId="1090" priority="16" operator="equal">
      <formula>"UNDERTIME"</formula>
    </cfRule>
  </conditionalFormatting>
  <conditionalFormatting sqref="J1:J2 J14:J1048576">
    <cfRule type="cellIs" dxfId="1089" priority="17" operator="equal">
      <formula>"UNDERTIME"</formula>
    </cfRule>
  </conditionalFormatting>
  <conditionalFormatting sqref="J1:J14">
    <cfRule type="cellIs" dxfId="1088" priority="7" operator="equal">
      <formula>"OB"</formula>
    </cfRule>
  </conditionalFormatting>
  <conditionalFormatting sqref="J1:J1048576">
    <cfRule type="cellIs" dxfId="1087" priority="6" operator="equal">
      <formula>"HOLIDAY"</formula>
    </cfRule>
    <cfRule type="cellIs" dxfId="1086" priority="8" operator="equal">
      <formula>"RESTDAY"</formula>
    </cfRule>
    <cfRule type="cellIs" dxfId="1085" priority="9" operator="equal">
      <formula>"HALF DAY"</formula>
    </cfRule>
    <cfRule type="cellIs" dxfId="1084" priority="10" operator="equal">
      <formula>"ABSENT"</formula>
    </cfRule>
    <cfRule type="cellIs" dxfId="1083" priority="12" operator="equal">
      <formula>"ABSENT"</formula>
    </cfRule>
  </conditionalFormatting>
  <conditionalFormatting sqref="J3:J14">
    <cfRule type="cellIs" dxfId="1082" priority="11" operator="equal">
      <formula>"UNDERTIME"</formula>
    </cfRule>
  </conditionalFormatting>
  <conditionalFormatting sqref="J3:J18">
    <cfRule type="cellIs" dxfId="1081" priority="5" operator="equal">
      <formula>"UNDERTIME"</formula>
    </cfRule>
  </conditionalFormatting>
  <conditionalFormatting sqref="J5:J1048576">
    <cfRule type="cellIs" dxfId="1080" priority="14" operator="equal">
      <formula>"OB"</formula>
    </cfRule>
  </conditionalFormatting>
  <conditionalFormatting sqref="J6">
    <cfRule type="cellIs" dxfId="1079" priority="4" operator="equal">
      <formula>"OB"</formula>
    </cfRule>
  </conditionalFormatting>
  <conditionalFormatting sqref="J7">
    <cfRule type="cellIs" dxfId="1078" priority="15" operator="equal">
      <formula>"OB"</formula>
    </cfRule>
  </conditionalFormatting>
  <conditionalFormatting sqref="J13">
    <cfRule type="cellIs" dxfId="1077" priority="13" operator="equal">
      <formula>"OB"</formula>
    </cfRule>
  </conditionalFormatting>
  <conditionalFormatting sqref="J14">
    <cfRule type="cellIs" dxfId="1076" priority="3" operator="equal">
      <formula>"OB"</formula>
    </cfRule>
    <cfRule type="cellIs" dxfId="1075" priority="18" operator="equal">
      <formula>"OB"</formula>
    </cfRule>
  </conditionalFormatting>
  <conditionalFormatting sqref="J14:J1048576">
    <cfRule type="cellIs" dxfId="1074" priority="19" operator="equal">
      <formula>"OB"</formula>
    </cfRule>
  </conditionalFormatting>
  <conditionalFormatting sqref="J17:J18">
    <cfRule type="cellIs" dxfId="1073" priority="20" operator="equal">
      <formula>"OB"</formula>
    </cfRule>
  </conditionalFormatting>
  <conditionalFormatting sqref="K6:K8">
    <cfRule type="containsText" dxfId="1072" priority="43" operator="containsText" text="SUNDAY">
      <formula>NOT(ISERROR(SEARCH("SUNDAY",K6)))</formula>
    </cfRule>
    <cfRule type="containsText" dxfId="1071" priority="44" operator="containsText" text="HOLIDAY">
      <formula>NOT(ISERROR(SEARCH("HOLIDAY",K6)))</formula>
    </cfRule>
  </conditionalFormatting>
  <conditionalFormatting sqref="K9">
    <cfRule type="containsText" dxfId="1070" priority="45" operator="containsText" text="SUNDAY">
      <formula>NOT(ISERROR(SEARCH("SUNDAY",K9)))</formula>
    </cfRule>
    <cfRule type="containsText" dxfId="1069" priority="46" operator="containsText" text="HOLIDAY">
      <formula>NOT(ISERROR(SEARCH("HOLIDAY",K9)))</formula>
    </cfRule>
  </conditionalFormatting>
  <conditionalFormatting sqref="L5:L9">
    <cfRule type="containsText" dxfId="1068" priority="41" operator="containsText" text="SUNDAY">
      <formula>NOT(ISERROR(SEARCH("SUNDAY",L5)))</formula>
    </cfRule>
    <cfRule type="containsText" dxfId="1067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388D-A667-49DF-AB20-EF48558AA656}">
  <dimension ref="A1:L26"/>
  <sheetViews>
    <sheetView zoomScaleNormal="100" zoomScaleSheetLayoutView="93" workbookViewId="0">
      <selection activeCell="L9" sqref="L9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22</v>
      </c>
      <c r="B3" s="7" t="s">
        <v>23</v>
      </c>
      <c r="C3" s="2" t="s">
        <v>244</v>
      </c>
      <c r="D3" s="2" t="s">
        <v>245</v>
      </c>
      <c r="E3" s="33">
        <v>46064</v>
      </c>
      <c r="F3" s="27">
        <f>C3-E3</f>
        <v>0.31312500000058208</v>
      </c>
      <c r="G3" s="27"/>
      <c r="H3" s="27"/>
      <c r="I3" s="27">
        <f t="shared" ref="I3:I13" si="0">D3-E3</f>
        <v>0.75641203703708015</v>
      </c>
      <c r="J3" s="8"/>
    </row>
    <row r="4" spans="1:12" x14ac:dyDescent="0.25">
      <c r="A4" s="6" t="s">
        <v>22</v>
      </c>
      <c r="B4" s="7" t="s">
        <v>23</v>
      </c>
      <c r="C4" s="2"/>
      <c r="D4" s="2" t="s">
        <v>246</v>
      </c>
      <c r="E4" s="33">
        <v>46065</v>
      </c>
      <c r="F4" s="27"/>
      <c r="G4" s="27"/>
      <c r="H4" s="27"/>
      <c r="I4" s="27">
        <f t="shared" si="0"/>
        <v>0.75809027777722804</v>
      </c>
      <c r="J4" s="8" t="s">
        <v>482</v>
      </c>
    </row>
    <row r="5" spans="1:12" x14ac:dyDescent="0.25">
      <c r="A5" s="6" t="s">
        <v>22</v>
      </c>
      <c r="B5" s="7" t="s">
        <v>23</v>
      </c>
      <c r="C5" s="2" t="s">
        <v>247</v>
      </c>
      <c r="D5" s="2" t="s">
        <v>248</v>
      </c>
      <c r="E5" s="33">
        <v>46066</v>
      </c>
      <c r="F5" s="27">
        <f t="shared" ref="F5:F6" si="1">C5-E5</f>
        <v>0.52339120370015735</v>
      </c>
      <c r="G5" s="27"/>
      <c r="H5" s="27"/>
      <c r="I5" s="27">
        <f t="shared" si="0"/>
        <v>0.73725694444146939</v>
      </c>
      <c r="J5" s="8" t="s">
        <v>261</v>
      </c>
      <c r="K5" s="3" t="s">
        <v>6</v>
      </c>
      <c r="L5" s="4">
        <v>0</v>
      </c>
    </row>
    <row r="6" spans="1:12" x14ac:dyDescent="0.25">
      <c r="A6" s="6" t="s">
        <v>22</v>
      </c>
      <c r="B6" s="7" t="s">
        <v>23</v>
      </c>
      <c r="C6" s="2" t="s">
        <v>249</v>
      </c>
      <c r="D6" s="2" t="s">
        <v>250</v>
      </c>
      <c r="E6" s="33">
        <v>46067</v>
      </c>
      <c r="F6" s="48">
        <f t="shared" si="1"/>
        <v>0.33966435184993315</v>
      </c>
      <c r="G6" s="27"/>
      <c r="H6" s="27"/>
      <c r="I6" s="27">
        <f t="shared" si="0"/>
        <v>0.71769675926043419</v>
      </c>
      <c r="J6" s="8"/>
      <c r="K6" s="3" t="s">
        <v>7</v>
      </c>
      <c r="L6" s="4">
        <v>1.5</v>
      </c>
    </row>
    <row r="7" spans="1:12" x14ac:dyDescent="0.25">
      <c r="A7" s="6" t="s">
        <v>22</v>
      </c>
      <c r="B7" s="7" t="s">
        <v>23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9</v>
      </c>
    </row>
    <row r="8" spans="1:12" x14ac:dyDescent="0.25">
      <c r="A8" s="6" t="s">
        <v>22</v>
      </c>
      <c r="B8" s="7" t="s">
        <v>23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22</v>
      </c>
      <c r="B9" s="7" t="s">
        <v>23</v>
      </c>
      <c r="C9" s="2" t="s">
        <v>251</v>
      </c>
      <c r="D9" s="2" t="s">
        <v>252</v>
      </c>
      <c r="E9" s="33">
        <v>46070</v>
      </c>
      <c r="F9" s="27">
        <f t="shared" ref="F9:F13" si="2">C9-E9</f>
        <v>0.32438657407328719</v>
      </c>
      <c r="G9" s="27"/>
      <c r="H9" s="27"/>
      <c r="I9" s="27">
        <f t="shared" si="0"/>
        <v>0.71232638888614019</v>
      </c>
      <c r="J9" s="8"/>
      <c r="K9" s="3" t="s">
        <v>10</v>
      </c>
      <c r="L9" s="4">
        <v>5</v>
      </c>
    </row>
    <row r="10" spans="1:12" x14ac:dyDescent="0.25">
      <c r="A10" s="6" t="s">
        <v>22</v>
      </c>
      <c r="B10" s="7" t="s">
        <v>23</v>
      </c>
      <c r="C10" s="2" t="s">
        <v>253</v>
      </c>
      <c r="D10" s="2" t="s">
        <v>254</v>
      </c>
      <c r="E10" s="33">
        <v>46071</v>
      </c>
      <c r="F10" s="27">
        <f t="shared" si="2"/>
        <v>0.30627314814773854</v>
      </c>
      <c r="G10" s="27"/>
      <c r="H10" s="27"/>
      <c r="I10" s="27">
        <f t="shared" si="0"/>
        <v>0.75582175925956108</v>
      </c>
      <c r="J10" s="8"/>
    </row>
    <row r="11" spans="1:12" x14ac:dyDescent="0.25">
      <c r="A11" s="6" t="s">
        <v>22</v>
      </c>
      <c r="B11" s="7" t="s">
        <v>23</v>
      </c>
      <c r="C11" s="2" t="s">
        <v>255</v>
      </c>
      <c r="D11" s="2" t="s">
        <v>256</v>
      </c>
      <c r="E11" s="33">
        <v>46072</v>
      </c>
      <c r="F11" s="27">
        <f t="shared" si="2"/>
        <v>0.31775462962832535</v>
      </c>
      <c r="G11" s="27"/>
      <c r="H11" s="27"/>
      <c r="I11" s="27">
        <f t="shared" si="0"/>
        <v>0.75146990740904585</v>
      </c>
      <c r="J11" s="8"/>
    </row>
    <row r="12" spans="1:12" x14ac:dyDescent="0.25">
      <c r="A12" s="6" t="s">
        <v>22</v>
      </c>
      <c r="B12" s="7" t="s">
        <v>23</v>
      </c>
      <c r="C12" s="2" t="s">
        <v>257</v>
      </c>
      <c r="D12" s="2" t="s">
        <v>258</v>
      </c>
      <c r="E12" s="33">
        <v>46073</v>
      </c>
      <c r="F12" s="27">
        <f t="shared" si="2"/>
        <v>0.31951388889137888</v>
      </c>
      <c r="G12" s="27"/>
      <c r="H12" s="27"/>
      <c r="I12" s="27">
        <f t="shared" si="0"/>
        <v>0.72905092592554865</v>
      </c>
      <c r="J12" s="8"/>
    </row>
    <row r="13" spans="1:12" x14ac:dyDescent="0.25">
      <c r="A13" s="6" t="s">
        <v>22</v>
      </c>
      <c r="B13" s="7" t="s">
        <v>23</v>
      </c>
      <c r="C13" s="2" t="s">
        <v>259</v>
      </c>
      <c r="D13" s="2" t="s">
        <v>260</v>
      </c>
      <c r="E13" s="33">
        <v>46074</v>
      </c>
      <c r="F13" s="27">
        <f t="shared" si="2"/>
        <v>0.32143518518569181</v>
      </c>
      <c r="G13" s="27"/>
      <c r="H13" s="27"/>
      <c r="I13" s="27">
        <f t="shared" si="0"/>
        <v>0.73928240740497131</v>
      </c>
      <c r="J13" s="8"/>
    </row>
    <row r="14" spans="1:12" x14ac:dyDescent="0.25">
      <c r="A14" s="6" t="s">
        <v>22</v>
      </c>
      <c r="B14" s="7" t="s">
        <v>23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22</v>
      </c>
      <c r="B15" s="7" t="s">
        <v>23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22</v>
      </c>
      <c r="B16" s="7" t="s">
        <v>23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22</v>
      </c>
      <c r="B17" s="7" t="s">
        <v>23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22</v>
      </c>
      <c r="B18" s="7" t="s">
        <v>23</v>
      </c>
      <c r="C18" s="28"/>
      <c r="D18" s="28"/>
      <c r="E18" s="33"/>
      <c r="F18" s="27"/>
      <c r="G18" s="29"/>
      <c r="H18" s="29"/>
      <c r="I18" s="27"/>
      <c r="J18" s="8"/>
    </row>
    <row r="19" spans="1:10" ht="15" customHeight="1" x14ac:dyDescent="0.25">
      <c r="A19" s="6"/>
      <c r="B19" s="7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1066" priority="25" operator="equal">
      <formula>"UNDERTIME"</formula>
    </cfRule>
  </conditionalFormatting>
  <conditionalFormatting sqref="F3:H18">
    <cfRule type="cellIs" dxfId="1065" priority="1" operator="equal">
      <formula>"UNDERTIME"</formula>
    </cfRule>
  </conditionalFormatting>
  <conditionalFormatting sqref="F1:J2 F19:J1048576">
    <cfRule type="cellIs" dxfId="1064" priority="16" operator="equal">
      <formula>"UNDERTIME"</formula>
    </cfRule>
  </conditionalFormatting>
  <conditionalFormatting sqref="J1:J2 J14:J1048576">
    <cfRule type="cellIs" dxfId="1063" priority="17" operator="equal">
      <formula>"UNDERTIME"</formula>
    </cfRule>
  </conditionalFormatting>
  <conditionalFormatting sqref="J1:J14">
    <cfRule type="cellIs" dxfId="1062" priority="7" operator="equal">
      <formula>"OB"</formula>
    </cfRule>
  </conditionalFormatting>
  <conditionalFormatting sqref="J1:J1048576">
    <cfRule type="cellIs" dxfId="1061" priority="6" operator="equal">
      <formula>"HOLIDAY"</formula>
    </cfRule>
    <cfRule type="cellIs" dxfId="1060" priority="8" operator="equal">
      <formula>"RESTDAY"</formula>
    </cfRule>
    <cfRule type="cellIs" dxfId="1059" priority="9" operator="equal">
      <formula>"HALF DAY"</formula>
    </cfRule>
    <cfRule type="cellIs" dxfId="1058" priority="10" operator="equal">
      <formula>"ABSENT"</formula>
    </cfRule>
    <cfRule type="cellIs" dxfId="1057" priority="12" operator="equal">
      <formula>"ABSENT"</formula>
    </cfRule>
  </conditionalFormatting>
  <conditionalFormatting sqref="J3:J14">
    <cfRule type="cellIs" dxfId="1056" priority="11" operator="equal">
      <formula>"UNDERTIME"</formula>
    </cfRule>
  </conditionalFormatting>
  <conditionalFormatting sqref="J3:J18">
    <cfRule type="cellIs" dxfId="1055" priority="5" operator="equal">
      <formula>"UNDERTIME"</formula>
    </cfRule>
  </conditionalFormatting>
  <conditionalFormatting sqref="J5:J1048576">
    <cfRule type="cellIs" dxfId="1054" priority="14" operator="equal">
      <formula>"OB"</formula>
    </cfRule>
  </conditionalFormatting>
  <conditionalFormatting sqref="J6">
    <cfRule type="cellIs" dxfId="1053" priority="4" operator="equal">
      <formula>"OB"</formula>
    </cfRule>
  </conditionalFormatting>
  <conditionalFormatting sqref="J7">
    <cfRule type="cellIs" dxfId="1052" priority="15" operator="equal">
      <formula>"OB"</formula>
    </cfRule>
  </conditionalFormatting>
  <conditionalFormatting sqref="J13">
    <cfRule type="cellIs" dxfId="1051" priority="13" operator="equal">
      <formula>"OB"</formula>
    </cfRule>
  </conditionalFormatting>
  <conditionalFormatting sqref="J14">
    <cfRule type="cellIs" dxfId="1050" priority="3" operator="equal">
      <formula>"OB"</formula>
    </cfRule>
    <cfRule type="cellIs" dxfId="1049" priority="18" operator="equal">
      <formula>"OB"</formula>
    </cfRule>
  </conditionalFormatting>
  <conditionalFormatting sqref="J14:J1048576">
    <cfRule type="cellIs" dxfId="1048" priority="19" operator="equal">
      <formula>"OB"</formula>
    </cfRule>
  </conditionalFormatting>
  <conditionalFormatting sqref="J17:J18">
    <cfRule type="cellIs" dxfId="1047" priority="20" operator="equal">
      <formula>"OB"</formula>
    </cfRule>
  </conditionalFormatting>
  <conditionalFormatting sqref="K6:K8">
    <cfRule type="containsText" dxfId="1046" priority="43" operator="containsText" text="SUNDAY">
      <formula>NOT(ISERROR(SEARCH("SUNDAY",K6)))</formula>
    </cfRule>
    <cfRule type="containsText" dxfId="1045" priority="44" operator="containsText" text="HOLIDAY">
      <formula>NOT(ISERROR(SEARCH("HOLIDAY",K6)))</formula>
    </cfRule>
  </conditionalFormatting>
  <conditionalFormatting sqref="K9">
    <cfRule type="containsText" dxfId="1044" priority="45" operator="containsText" text="SUNDAY">
      <formula>NOT(ISERROR(SEARCH("SUNDAY",K9)))</formula>
    </cfRule>
    <cfRule type="containsText" dxfId="1043" priority="46" operator="containsText" text="HOLIDAY">
      <formula>NOT(ISERROR(SEARCH("HOLIDAY",K9)))</formula>
    </cfRule>
  </conditionalFormatting>
  <conditionalFormatting sqref="L5:L9">
    <cfRule type="containsText" dxfId="1042" priority="41" operator="containsText" text="SUNDAY">
      <formula>NOT(ISERROR(SEARCH("SUNDAY",L5)))</formula>
    </cfRule>
    <cfRule type="containsText" dxfId="1041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3424E-DF4F-428B-8AD9-12E9F5A06F1A}">
  <dimension ref="A1:L26"/>
  <sheetViews>
    <sheetView zoomScaleNormal="100" zoomScaleSheetLayoutView="93" workbookViewId="0">
      <selection activeCell="G14" sqref="G14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87</v>
      </c>
      <c r="B3" s="7" t="s">
        <v>88</v>
      </c>
      <c r="C3" s="2"/>
      <c r="D3" s="2"/>
      <c r="E3" s="33">
        <v>46064</v>
      </c>
      <c r="F3" s="27"/>
      <c r="G3" s="27"/>
      <c r="H3" s="27"/>
      <c r="I3" s="27"/>
      <c r="J3" s="8" t="s">
        <v>156</v>
      </c>
    </row>
    <row r="4" spans="1:12" x14ac:dyDescent="0.25">
      <c r="A4" s="6" t="s">
        <v>87</v>
      </c>
      <c r="B4" s="7" t="s">
        <v>88</v>
      </c>
      <c r="C4" s="2" t="s">
        <v>262</v>
      </c>
      <c r="D4" s="2" t="s">
        <v>263</v>
      </c>
      <c r="E4" s="33">
        <v>46065</v>
      </c>
      <c r="F4" s="27">
        <f t="shared" ref="F4:F6" si="0">C4-E4</f>
        <v>0.32537037037400296</v>
      </c>
      <c r="G4" s="27"/>
      <c r="H4" s="27"/>
      <c r="I4" s="27">
        <f t="shared" ref="I4:I13" si="1">D4-E4</f>
        <v>0.70923611111356877</v>
      </c>
      <c r="J4" s="8"/>
    </row>
    <row r="5" spans="1:12" x14ac:dyDescent="0.25">
      <c r="A5" s="6" t="s">
        <v>87</v>
      </c>
      <c r="B5" s="7" t="s">
        <v>88</v>
      </c>
      <c r="C5" s="2" t="s">
        <v>264</v>
      </c>
      <c r="D5" s="2" t="s">
        <v>265</v>
      </c>
      <c r="E5" s="33">
        <v>46066</v>
      </c>
      <c r="F5" s="48">
        <f t="shared" si="0"/>
        <v>0.3424421296294895</v>
      </c>
      <c r="G5" s="27"/>
      <c r="H5" s="27"/>
      <c r="I5" s="27">
        <f t="shared" si="1"/>
        <v>0.70942129629838746</v>
      </c>
      <c r="J5" s="8"/>
      <c r="K5" s="3" t="s">
        <v>6</v>
      </c>
      <c r="L5" s="4">
        <v>0</v>
      </c>
    </row>
    <row r="6" spans="1:12" x14ac:dyDescent="0.25">
      <c r="A6" s="6" t="s">
        <v>87</v>
      </c>
      <c r="B6" s="7" t="s">
        <v>88</v>
      </c>
      <c r="C6" s="2" t="s">
        <v>266</v>
      </c>
      <c r="D6" s="2" t="s">
        <v>267</v>
      </c>
      <c r="E6" s="33">
        <v>46067</v>
      </c>
      <c r="F6" s="27">
        <f t="shared" si="0"/>
        <v>0.32410879629605915</v>
      </c>
      <c r="G6" s="27"/>
      <c r="H6" s="27"/>
      <c r="I6" s="27">
        <f t="shared" si="1"/>
        <v>0.71145833333139308</v>
      </c>
      <c r="J6" s="8"/>
      <c r="K6" s="3" t="s">
        <v>7</v>
      </c>
      <c r="L6" s="4">
        <v>3</v>
      </c>
    </row>
    <row r="7" spans="1:12" x14ac:dyDescent="0.25">
      <c r="A7" s="6" t="s">
        <v>87</v>
      </c>
      <c r="B7" s="7" t="s">
        <v>88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13</v>
      </c>
    </row>
    <row r="8" spans="1:12" x14ac:dyDescent="0.25">
      <c r="A8" s="6" t="s">
        <v>87</v>
      </c>
      <c r="B8" s="7" t="s">
        <v>88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87</v>
      </c>
      <c r="B9" s="7" t="s">
        <v>88</v>
      </c>
      <c r="C9" s="2" t="s">
        <v>268</v>
      </c>
      <c r="D9" s="2" t="s">
        <v>269</v>
      </c>
      <c r="E9" s="33">
        <v>46070</v>
      </c>
      <c r="F9" s="27">
        <f t="shared" ref="F9:F13" si="2">C9-E9</f>
        <v>0.32644675925985212</v>
      </c>
      <c r="G9" s="27"/>
      <c r="H9" s="27"/>
      <c r="I9" s="27">
        <f t="shared" si="1"/>
        <v>0.70890046295971842</v>
      </c>
      <c r="J9" s="8"/>
      <c r="K9" s="3" t="s">
        <v>10</v>
      </c>
      <c r="L9" s="4">
        <v>0</v>
      </c>
    </row>
    <row r="10" spans="1:12" x14ac:dyDescent="0.25">
      <c r="A10" s="6" t="s">
        <v>87</v>
      </c>
      <c r="B10" s="7" t="s">
        <v>88</v>
      </c>
      <c r="C10" s="2" t="s">
        <v>270</v>
      </c>
      <c r="D10" s="2" t="s">
        <v>271</v>
      </c>
      <c r="E10" s="33">
        <v>46071</v>
      </c>
      <c r="F10" s="27">
        <f t="shared" si="2"/>
        <v>0.33068287037167465</v>
      </c>
      <c r="G10" s="27"/>
      <c r="H10" s="27"/>
      <c r="I10" s="27">
        <f t="shared" si="1"/>
        <v>0.70896990740584442</v>
      </c>
      <c r="J10" s="8"/>
    </row>
    <row r="11" spans="1:12" x14ac:dyDescent="0.25">
      <c r="A11" s="6" t="s">
        <v>87</v>
      </c>
      <c r="B11" s="7" t="s">
        <v>88</v>
      </c>
      <c r="C11" s="2"/>
      <c r="D11" s="2"/>
      <c r="E11" s="33">
        <v>46072</v>
      </c>
      <c r="F11" s="27"/>
      <c r="G11" s="27"/>
      <c r="H11" s="27"/>
      <c r="I11" s="27"/>
      <c r="J11" s="8" t="s">
        <v>156</v>
      </c>
    </row>
    <row r="12" spans="1:12" x14ac:dyDescent="0.25">
      <c r="A12" s="6" t="s">
        <v>87</v>
      </c>
      <c r="B12" s="7" t="s">
        <v>88</v>
      </c>
      <c r="C12" s="2" t="s">
        <v>272</v>
      </c>
      <c r="D12" s="2" t="s">
        <v>273</v>
      </c>
      <c r="E12" s="33">
        <v>46073</v>
      </c>
      <c r="F12" s="27">
        <f t="shared" si="2"/>
        <v>0.32229166666365927</v>
      </c>
      <c r="G12" s="27"/>
      <c r="H12" s="27"/>
      <c r="I12" s="27">
        <f t="shared" si="1"/>
        <v>0.70870370370539604</v>
      </c>
      <c r="J12" s="8"/>
    </row>
    <row r="13" spans="1:12" x14ac:dyDescent="0.25">
      <c r="A13" s="6" t="s">
        <v>87</v>
      </c>
      <c r="B13" s="7" t="s">
        <v>88</v>
      </c>
      <c r="C13" s="2" t="s">
        <v>274</v>
      </c>
      <c r="D13" s="2" t="s">
        <v>275</v>
      </c>
      <c r="E13" s="33">
        <v>46074</v>
      </c>
      <c r="F13" s="27">
        <f t="shared" si="2"/>
        <v>0.32571759259008104</v>
      </c>
      <c r="G13" s="27"/>
      <c r="H13" s="27"/>
      <c r="I13" s="27">
        <f t="shared" si="1"/>
        <v>0.70862268518249039</v>
      </c>
      <c r="J13" s="8"/>
    </row>
    <row r="14" spans="1:12" x14ac:dyDescent="0.25">
      <c r="A14" s="6" t="s">
        <v>87</v>
      </c>
      <c r="B14" s="7" t="s">
        <v>88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87</v>
      </c>
      <c r="B15" s="7" t="s">
        <v>88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87</v>
      </c>
      <c r="B16" s="7" t="s">
        <v>88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87</v>
      </c>
      <c r="B17" s="7" t="s">
        <v>88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87</v>
      </c>
      <c r="B18" s="7" t="s">
        <v>88</v>
      </c>
      <c r="C18" s="28"/>
      <c r="D18" s="28"/>
      <c r="E18" s="33"/>
      <c r="F18" s="27"/>
      <c r="G18" s="29"/>
      <c r="H18" s="29"/>
      <c r="I18" s="27"/>
      <c r="J18" s="8"/>
    </row>
    <row r="19" spans="1:10" ht="15" customHeight="1" x14ac:dyDescent="0.25">
      <c r="A19" s="6"/>
      <c r="B19" s="7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1040" priority="25" operator="equal">
      <formula>"UNDERTIME"</formula>
    </cfRule>
  </conditionalFormatting>
  <conditionalFormatting sqref="F3:H18">
    <cfRule type="cellIs" dxfId="1039" priority="1" operator="equal">
      <formula>"UNDERTIME"</formula>
    </cfRule>
  </conditionalFormatting>
  <conditionalFormatting sqref="F1:J2 F19:J1048576">
    <cfRule type="cellIs" dxfId="1038" priority="16" operator="equal">
      <formula>"UNDERTIME"</formula>
    </cfRule>
  </conditionalFormatting>
  <conditionalFormatting sqref="J1:J2 J14:J1048576">
    <cfRule type="cellIs" dxfId="1037" priority="17" operator="equal">
      <formula>"UNDERTIME"</formula>
    </cfRule>
  </conditionalFormatting>
  <conditionalFormatting sqref="J1:J14">
    <cfRule type="cellIs" dxfId="1036" priority="7" operator="equal">
      <formula>"OB"</formula>
    </cfRule>
  </conditionalFormatting>
  <conditionalFormatting sqref="J1:J1048576">
    <cfRule type="cellIs" dxfId="1035" priority="6" operator="equal">
      <formula>"HOLIDAY"</formula>
    </cfRule>
    <cfRule type="cellIs" dxfId="1034" priority="8" operator="equal">
      <formula>"RESTDAY"</formula>
    </cfRule>
    <cfRule type="cellIs" dxfId="1033" priority="9" operator="equal">
      <formula>"HALF DAY"</formula>
    </cfRule>
    <cfRule type="cellIs" dxfId="1032" priority="10" operator="equal">
      <formula>"ABSENT"</formula>
    </cfRule>
    <cfRule type="cellIs" dxfId="1031" priority="12" operator="equal">
      <formula>"ABSENT"</formula>
    </cfRule>
  </conditionalFormatting>
  <conditionalFormatting sqref="J3:J14">
    <cfRule type="cellIs" dxfId="1030" priority="11" operator="equal">
      <formula>"UNDERTIME"</formula>
    </cfRule>
  </conditionalFormatting>
  <conditionalFormatting sqref="J3:J18">
    <cfRule type="cellIs" dxfId="1029" priority="5" operator="equal">
      <formula>"UNDERTIME"</formula>
    </cfRule>
  </conditionalFormatting>
  <conditionalFormatting sqref="J5:J1048576">
    <cfRule type="cellIs" dxfId="1028" priority="14" operator="equal">
      <formula>"OB"</formula>
    </cfRule>
  </conditionalFormatting>
  <conditionalFormatting sqref="J6">
    <cfRule type="cellIs" dxfId="1027" priority="4" operator="equal">
      <formula>"OB"</formula>
    </cfRule>
  </conditionalFormatting>
  <conditionalFormatting sqref="J7">
    <cfRule type="cellIs" dxfId="1026" priority="15" operator="equal">
      <formula>"OB"</formula>
    </cfRule>
  </conditionalFormatting>
  <conditionalFormatting sqref="J13">
    <cfRule type="cellIs" dxfId="1025" priority="13" operator="equal">
      <formula>"OB"</formula>
    </cfRule>
  </conditionalFormatting>
  <conditionalFormatting sqref="J14">
    <cfRule type="cellIs" dxfId="1024" priority="3" operator="equal">
      <formula>"OB"</formula>
    </cfRule>
    <cfRule type="cellIs" dxfId="1023" priority="18" operator="equal">
      <formula>"OB"</formula>
    </cfRule>
  </conditionalFormatting>
  <conditionalFormatting sqref="J14:J1048576">
    <cfRule type="cellIs" dxfId="1022" priority="19" operator="equal">
      <formula>"OB"</formula>
    </cfRule>
  </conditionalFormatting>
  <conditionalFormatting sqref="J17:J18">
    <cfRule type="cellIs" dxfId="1021" priority="20" operator="equal">
      <formula>"OB"</formula>
    </cfRule>
  </conditionalFormatting>
  <conditionalFormatting sqref="K6:K8">
    <cfRule type="containsText" dxfId="1020" priority="43" operator="containsText" text="SUNDAY">
      <formula>NOT(ISERROR(SEARCH("SUNDAY",K6)))</formula>
    </cfRule>
    <cfRule type="containsText" dxfId="1019" priority="44" operator="containsText" text="HOLIDAY">
      <formula>NOT(ISERROR(SEARCH("HOLIDAY",K6)))</formula>
    </cfRule>
  </conditionalFormatting>
  <conditionalFormatting sqref="K9">
    <cfRule type="containsText" dxfId="1018" priority="45" operator="containsText" text="SUNDAY">
      <formula>NOT(ISERROR(SEARCH("SUNDAY",K9)))</formula>
    </cfRule>
    <cfRule type="containsText" dxfId="1017" priority="46" operator="containsText" text="HOLIDAY">
      <formula>NOT(ISERROR(SEARCH("HOLIDAY",K9)))</formula>
    </cfRule>
  </conditionalFormatting>
  <conditionalFormatting sqref="L5:L9">
    <cfRule type="containsText" dxfId="1016" priority="41" operator="containsText" text="SUNDAY">
      <formula>NOT(ISERROR(SEARCH("SUNDAY",L5)))</formula>
    </cfRule>
    <cfRule type="containsText" dxfId="1015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68F9-9EAD-47BF-BB5D-930609E6C3F6}">
  <dimension ref="A1:L26"/>
  <sheetViews>
    <sheetView zoomScaleNormal="100" zoomScaleSheetLayoutView="93" workbookViewId="0">
      <selection activeCell="G13" sqref="G13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24</v>
      </c>
      <c r="B3" s="7" t="s">
        <v>25</v>
      </c>
      <c r="C3" s="2" t="s">
        <v>276</v>
      </c>
      <c r="D3" s="2" t="s">
        <v>277</v>
      </c>
      <c r="E3" s="33">
        <v>46064</v>
      </c>
      <c r="F3" s="27">
        <f>C3-E3</f>
        <v>0.32344907407241408</v>
      </c>
      <c r="G3" s="27"/>
      <c r="H3" s="27"/>
      <c r="I3" s="27">
        <f t="shared" ref="I3:I13" si="0">D3-E3</f>
        <v>0.71340277777926531</v>
      </c>
      <c r="J3" s="8"/>
    </row>
    <row r="4" spans="1:12" x14ac:dyDescent="0.25">
      <c r="A4" s="6" t="s">
        <v>24</v>
      </c>
      <c r="B4" s="7" t="s">
        <v>25</v>
      </c>
      <c r="C4" s="2" t="s">
        <v>278</v>
      </c>
      <c r="D4" s="2" t="s">
        <v>279</v>
      </c>
      <c r="E4" s="33">
        <v>46065</v>
      </c>
      <c r="F4" s="27">
        <f t="shared" ref="F4:F6" si="1">C4-E4</f>
        <v>0.33298611111240461</v>
      </c>
      <c r="G4" s="27"/>
      <c r="H4" s="27"/>
      <c r="I4" s="27">
        <f t="shared" si="0"/>
        <v>0.70958333333692281</v>
      </c>
      <c r="J4" s="8"/>
    </row>
    <row r="5" spans="1:12" x14ac:dyDescent="0.25">
      <c r="A5" s="6" t="s">
        <v>24</v>
      </c>
      <c r="B5" s="7" t="s">
        <v>25</v>
      </c>
      <c r="C5" s="2" t="s">
        <v>280</v>
      </c>
      <c r="D5" s="2" t="s">
        <v>281</v>
      </c>
      <c r="E5" s="33">
        <v>46066</v>
      </c>
      <c r="F5" s="27">
        <f t="shared" si="1"/>
        <v>0.33123842592613073</v>
      </c>
      <c r="G5" s="27"/>
      <c r="H5" s="27"/>
      <c r="I5" s="27">
        <f t="shared" si="0"/>
        <v>0.71172453703911742</v>
      </c>
      <c r="J5" s="8"/>
      <c r="K5" s="3" t="s">
        <v>6</v>
      </c>
      <c r="L5" s="4">
        <v>0</v>
      </c>
    </row>
    <row r="6" spans="1:12" x14ac:dyDescent="0.25">
      <c r="A6" s="6" t="s">
        <v>24</v>
      </c>
      <c r="B6" s="7" t="s">
        <v>25</v>
      </c>
      <c r="C6" s="2" t="s">
        <v>282</v>
      </c>
      <c r="D6" s="2" t="s">
        <v>283</v>
      </c>
      <c r="E6" s="33">
        <v>46067</v>
      </c>
      <c r="F6" s="27">
        <f t="shared" si="1"/>
        <v>0.32862268518510973</v>
      </c>
      <c r="G6" s="27"/>
      <c r="H6" s="27"/>
      <c r="I6" s="27">
        <f t="shared" si="0"/>
        <v>0.70945601852145046</v>
      </c>
      <c r="J6" s="8"/>
      <c r="K6" s="3" t="s">
        <v>7</v>
      </c>
      <c r="L6" s="4">
        <v>0</v>
      </c>
    </row>
    <row r="7" spans="1:12" x14ac:dyDescent="0.25">
      <c r="A7" s="6" t="s">
        <v>24</v>
      </c>
      <c r="B7" s="7" t="s">
        <v>25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24</v>
      </c>
      <c r="B8" s="7" t="s">
        <v>25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24</v>
      </c>
      <c r="B9" s="7" t="s">
        <v>25</v>
      </c>
      <c r="C9" s="2" t="s">
        <v>284</v>
      </c>
      <c r="D9" s="2" t="s">
        <v>285</v>
      </c>
      <c r="E9" s="33">
        <v>46070</v>
      </c>
      <c r="F9" s="27">
        <f t="shared" ref="F9:F13" si="2">C9-E9</f>
        <v>0.32900462963152677</v>
      </c>
      <c r="G9" s="27"/>
      <c r="H9" s="27"/>
      <c r="I9" s="27">
        <f t="shared" si="0"/>
        <v>0.70980324073752854</v>
      </c>
      <c r="J9" s="8"/>
      <c r="K9" s="3" t="s">
        <v>10</v>
      </c>
      <c r="L9" s="4">
        <v>0</v>
      </c>
    </row>
    <row r="10" spans="1:12" x14ac:dyDescent="0.25">
      <c r="A10" s="6" t="s">
        <v>24</v>
      </c>
      <c r="B10" s="7" t="s">
        <v>25</v>
      </c>
      <c r="C10" s="2" t="s">
        <v>286</v>
      </c>
      <c r="D10" s="2" t="s">
        <v>287</v>
      </c>
      <c r="E10" s="33">
        <v>46071</v>
      </c>
      <c r="F10" s="27">
        <f t="shared" si="2"/>
        <v>0.33159722221898846</v>
      </c>
      <c r="G10" s="27"/>
      <c r="H10" s="27"/>
      <c r="I10" s="27">
        <f t="shared" si="0"/>
        <v>0.72063657407124992</v>
      </c>
      <c r="J10" s="8"/>
    </row>
    <row r="11" spans="1:12" x14ac:dyDescent="0.25">
      <c r="A11" s="6" t="s">
        <v>24</v>
      </c>
      <c r="B11" s="7" t="s">
        <v>25</v>
      </c>
      <c r="C11" s="2" t="s">
        <v>288</v>
      </c>
      <c r="D11" s="2" t="s">
        <v>289</v>
      </c>
      <c r="E11" s="33">
        <v>46072</v>
      </c>
      <c r="F11" s="27">
        <f t="shared" si="2"/>
        <v>0.33108796296437504</v>
      </c>
      <c r="G11" s="27"/>
      <c r="H11" s="27"/>
      <c r="I11" s="27">
        <f t="shared" si="0"/>
        <v>0.70905092592875008</v>
      </c>
      <c r="J11" s="8"/>
    </row>
    <row r="12" spans="1:12" x14ac:dyDescent="0.25">
      <c r="A12" s="6" t="s">
        <v>24</v>
      </c>
      <c r="B12" s="7" t="s">
        <v>25</v>
      </c>
      <c r="C12" s="2" t="s">
        <v>290</v>
      </c>
      <c r="D12" s="2" t="s">
        <v>291</v>
      </c>
      <c r="E12" s="33">
        <v>46073</v>
      </c>
      <c r="F12" s="27">
        <f t="shared" si="2"/>
        <v>0.33039351851766696</v>
      </c>
      <c r="G12" s="27"/>
      <c r="H12" s="27"/>
      <c r="I12" s="27">
        <f t="shared" si="0"/>
        <v>0.70935185185226146</v>
      </c>
      <c r="J12" s="8"/>
    </row>
    <row r="13" spans="1:12" x14ac:dyDescent="0.25">
      <c r="A13" s="6" t="s">
        <v>24</v>
      </c>
      <c r="B13" s="7" t="s">
        <v>25</v>
      </c>
      <c r="C13" s="2" t="s">
        <v>292</v>
      </c>
      <c r="D13" s="2" t="s">
        <v>293</v>
      </c>
      <c r="E13" s="33">
        <v>46074</v>
      </c>
      <c r="F13" s="27">
        <f t="shared" si="2"/>
        <v>0.32915509259328246</v>
      </c>
      <c r="G13" s="27"/>
      <c r="H13" s="27"/>
      <c r="I13" s="27">
        <f t="shared" si="0"/>
        <v>0.70994212962978054</v>
      </c>
      <c r="J13" s="8"/>
    </row>
    <row r="14" spans="1:12" x14ac:dyDescent="0.25">
      <c r="A14" s="6" t="s">
        <v>24</v>
      </c>
      <c r="B14" s="7" t="s">
        <v>25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24</v>
      </c>
      <c r="B15" s="7" t="s">
        <v>25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24</v>
      </c>
      <c r="B16" s="7" t="s">
        <v>25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24</v>
      </c>
      <c r="B17" s="7" t="s">
        <v>25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24</v>
      </c>
      <c r="B18" s="7" t="s">
        <v>25</v>
      </c>
      <c r="C18" s="28"/>
      <c r="D18" s="28"/>
      <c r="E18" s="33"/>
      <c r="F18" s="27"/>
      <c r="G18" s="29"/>
      <c r="H18" s="29"/>
      <c r="I18" s="27"/>
      <c r="J18" s="8"/>
    </row>
    <row r="19" spans="1:10" ht="15" customHeight="1" x14ac:dyDescent="0.25">
      <c r="A19" s="6"/>
      <c r="B19" s="7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1014" priority="25" operator="equal">
      <formula>"UNDERTIME"</formula>
    </cfRule>
  </conditionalFormatting>
  <conditionalFormatting sqref="F3:H18">
    <cfRule type="cellIs" dxfId="1013" priority="1" operator="equal">
      <formula>"UNDERTIME"</formula>
    </cfRule>
  </conditionalFormatting>
  <conditionalFormatting sqref="F1:J2 F19:J1048576">
    <cfRule type="cellIs" dxfId="1012" priority="16" operator="equal">
      <formula>"UNDERTIME"</formula>
    </cfRule>
  </conditionalFormatting>
  <conditionalFormatting sqref="J1:J2 J14:J1048576">
    <cfRule type="cellIs" dxfId="1011" priority="17" operator="equal">
      <formula>"UNDERTIME"</formula>
    </cfRule>
  </conditionalFormatting>
  <conditionalFormatting sqref="J1:J14">
    <cfRule type="cellIs" dxfId="1010" priority="7" operator="equal">
      <formula>"OB"</formula>
    </cfRule>
  </conditionalFormatting>
  <conditionalFormatting sqref="J1:J1048576">
    <cfRule type="cellIs" dxfId="1009" priority="6" operator="equal">
      <formula>"HOLIDAY"</formula>
    </cfRule>
    <cfRule type="cellIs" dxfId="1008" priority="8" operator="equal">
      <formula>"RESTDAY"</formula>
    </cfRule>
    <cfRule type="cellIs" dxfId="1007" priority="9" operator="equal">
      <formula>"HALF DAY"</formula>
    </cfRule>
    <cfRule type="cellIs" dxfId="1006" priority="10" operator="equal">
      <formula>"ABSENT"</formula>
    </cfRule>
    <cfRule type="cellIs" dxfId="1005" priority="12" operator="equal">
      <formula>"ABSENT"</formula>
    </cfRule>
  </conditionalFormatting>
  <conditionalFormatting sqref="J3:J14">
    <cfRule type="cellIs" dxfId="1004" priority="11" operator="equal">
      <formula>"UNDERTIME"</formula>
    </cfRule>
  </conditionalFormatting>
  <conditionalFormatting sqref="J3:J18">
    <cfRule type="cellIs" dxfId="1003" priority="5" operator="equal">
      <formula>"UNDERTIME"</formula>
    </cfRule>
  </conditionalFormatting>
  <conditionalFormatting sqref="J5:J1048576">
    <cfRule type="cellIs" dxfId="1002" priority="14" operator="equal">
      <formula>"OB"</formula>
    </cfRule>
  </conditionalFormatting>
  <conditionalFormatting sqref="J6">
    <cfRule type="cellIs" dxfId="1001" priority="4" operator="equal">
      <formula>"OB"</formula>
    </cfRule>
  </conditionalFormatting>
  <conditionalFormatting sqref="J7">
    <cfRule type="cellIs" dxfId="1000" priority="15" operator="equal">
      <formula>"OB"</formula>
    </cfRule>
  </conditionalFormatting>
  <conditionalFormatting sqref="J13">
    <cfRule type="cellIs" dxfId="999" priority="13" operator="equal">
      <formula>"OB"</formula>
    </cfRule>
  </conditionalFormatting>
  <conditionalFormatting sqref="J14">
    <cfRule type="cellIs" dxfId="998" priority="3" operator="equal">
      <formula>"OB"</formula>
    </cfRule>
    <cfRule type="cellIs" dxfId="997" priority="18" operator="equal">
      <formula>"OB"</formula>
    </cfRule>
  </conditionalFormatting>
  <conditionalFormatting sqref="J14:J1048576">
    <cfRule type="cellIs" dxfId="996" priority="19" operator="equal">
      <formula>"OB"</formula>
    </cfRule>
  </conditionalFormatting>
  <conditionalFormatting sqref="J17:J18">
    <cfRule type="cellIs" dxfId="995" priority="20" operator="equal">
      <formula>"OB"</formula>
    </cfRule>
  </conditionalFormatting>
  <conditionalFormatting sqref="K6:K8">
    <cfRule type="containsText" dxfId="994" priority="43" operator="containsText" text="SUNDAY">
      <formula>NOT(ISERROR(SEARCH("SUNDAY",K6)))</formula>
    </cfRule>
    <cfRule type="containsText" dxfId="993" priority="44" operator="containsText" text="HOLIDAY">
      <formula>NOT(ISERROR(SEARCH("HOLIDAY",K6)))</formula>
    </cfRule>
  </conditionalFormatting>
  <conditionalFormatting sqref="K9">
    <cfRule type="containsText" dxfId="992" priority="45" operator="containsText" text="SUNDAY">
      <formula>NOT(ISERROR(SEARCH("SUNDAY",K9)))</formula>
    </cfRule>
    <cfRule type="containsText" dxfId="991" priority="46" operator="containsText" text="HOLIDAY">
      <formula>NOT(ISERROR(SEARCH("HOLIDAY",K9)))</formula>
    </cfRule>
  </conditionalFormatting>
  <conditionalFormatting sqref="L5:L9">
    <cfRule type="containsText" dxfId="990" priority="41" operator="containsText" text="SUNDAY">
      <formula>NOT(ISERROR(SEARCH("SUNDAY",L5)))</formula>
    </cfRule>
    <cfRule type="containsText" dxfId="989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8957-0C69-4EA6-B255-B2BCEFB87473}">
  <dimension ref="A1:L26"/>
  <sheetViews>
    <sheetView zoomScaleNormal="100" zoomScaleSheetLayoutView="93" workbookViewId="0">
      <selection activeCell="L7" sqref="L7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26</v>
      </c>
      <c r="B3" s="7" t="s">
        <v>27</v>
      </c>
      <c r="C3" s="2" t="s">
        <v>294</v>
      </c>
      <c r="D3" s="2" t="s">
        <v>295</v>
      </c>
      <c r="E3" s="33">
        <v>46064</v>
      </c>
      <c r="F3" s="27">
        <f>C3-E3</f>
        <v>0.29468749999796273</v>
      </c>
      <c r="G3" s="27"/>
      <c r="H3" s="27"/>
      <c r="I3" s="27">
        <f t="shared" ref="I3:I13" si="0">D3-E3</f>
        <v>0.7148611111115315</v>
      </c>
      <c r="J3" s="8"/>
    </row>
    <row r="4" spans="1:12" x14ac:dyDescent="0.25">
      <c r="A4" s="6" t="s">
        <v>26</v>
      </c>
      <c r="B4" s="7" t="s">
        <v>27</v>
      </c>
      <c r="C4" s="2" t="s">
        <v>296</v>
      </c>
      <c r="D4" s="2" t="s">
        <v>297</v>
      </c>
      <c r="E4" s="33">
        <v>46065</v>
      </c>
      <c r="F4" s="27">
        <f t="shared" ref="F4:F6" si="1">C4-E4</f>
        <v>0.29925925925635966</v>
      </c>
      <c r="G4" s="27"/>
      <c r="H4" s="27"/>
      <c r="I4" s="27">
        <f t="shared" si="0"/>
        <v>0.74797453703649808</v>
      </c>
      <c r="J4" s="8"/>
    </row>
    <row r="5" spans="1:12" x14ac:dyDescent="0.25">
      <c r="A5" s="6" t="s">
        <v>26</v>
      </c>
      <c r="B5" s="7" t="s">
        <v>27</v>
      </c>
      <c r="C5" s="2" t="s">
        <v>298</v>
      </c>
      <c r="D5" s="2" t="s">
        <v>299</v>
      </c>
      <c r="E5" s="33">
        <v>46066</v>
      </c>
      <c r="F5" s="27">
        <f t="shared" si="1"/>
        <v>0.29962962962599704</v>
      </c>
      <c r="G5" s="27"/>
      <c r="H5" s="27"/>
      <c r="I5" s="27">
        <f t="shared" si="0"/>
        <v>0.71420138888788642</v>
      </c>
      <c r="J5" s="8"/>
      <c r="K5" s="3" t="s">
        <v>6</v>
      </c>
      <c r="L5" s="4">
        <v>0</v>
      </c>
    </row>
    <row r="6" spans="1:12" x14ac:dyDescent="0.25">
      <c r="A6" s="6" t="s">
        <v>26</v>
      </c>
      <c r="B6" s="7" t="s">
        <v>27</v>
      </c>
      <c r="C6" s="2" t="s">
        <v>300</v>
      </c>
      <c r="D6" s="2" t="s">
        <v>301</v>
      </c>
      <c r="E6" s="33">
        <v>46067</v>
      </c>
      <c r="F6" s="27">
        <f t="shared" si="1"/>
        <v>0.32996527777868323</v>
      </c>
      <c r="G6" s="27"/>
      <c r="H6" s="27"/>
      <c r="I6" s="27">
        <f t="shared" si="0"/>
        <v>0.71047453703795327</v>
      </c>
      <c r="J6" s="8"/>
      <c r="K6" s="3" t="s">
        <v>7</v>
      </c>
      <c r="L6" s="4">
        <v>0</v>
      </c>
    </row>
    <row r="7" spans="1:12" x14ac:dyDescent="0.25">
      <c r="A7" s="6" t="s">
        <v>26</v>
      </c>
      <c r="B7" s="7" t="s">
        <v>27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f>60+5+60+29</f>
        <v>154</v>
      </c>
    </row>
    <row r="8" spans="1:12" x14ac:dyDescent="0.25">
      <c r="A8" s="6" t="s">
        <v>26</v>
      </c>
      <c r="B8" s="7" t="s">
        <v>27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26</v>
      </c>
      <c r="B9" s="7" t="s">
        <v>27</v>
      </c>
      <c r="C9" s="2" t="s">
        <v>302</v>
      </c>
      <c r="D9" s="2" t="s">
        <v>303</v>
      </c>
      <c r="E9" s="33">
        <v>46070</v>
      </c>
      <c r="F9" s="48">
        <f t="shared" ref="F9:F13" si="2">C9-E9</f>
        <v>0.37875000000349246</v>
      </c>
      <c r="G9" s="27"/>
      <c r="H9" s="27"/>
      <c r="I9" s="27">
        <f t="shared" si="0"/>
        <v>0.87109953703475185</v>
      </c>
      <c r="J9" s="8"/>
      <c r="K9" s="3" t="s">
        <v>10</v>
      </c>
      <c r="L9" s="4">
        <v>0</v>
      </c>
    </row>
    <row r="10" spans="1:12" x14ac:dyDescent="0.25">
      <c r="A10" s="6" t="s">
        <v>26</v>
      </c>
      <c r="B10" s="7" t="s">
        <v>27</v>
      </c>
      <c r="C10" s="2" t="s">
        <v>304</v>
      </c>
      <c r="D10" s="2" t="s">
        <v>305</v>
      </c>
      <c r="E10" s="33">
        <v>46071</v>
      </c>
      <c r="F10" s="27">
        <f t="shared" si="2"/>
        <v>0.32577546295942739</v>
      </c>
      <c r="G10" s="27"/>
      <c r="H10" s="27"/>
      <c r="I10" s="27">
        <f t="shared" si="0"/>
        <v>0.71054398148407927</v>
      </c>
      <c r="J10" s="8"/>
    </row>
    <row r="11" spans="1:12" x14ac:dyDescent="0.25">
      <c r="A11" s="6" t="s">
        <v>26</v>
      </c>
      <c r="B11" s="7" t="s">
        <v>27</v>
      </c>
      <c r="C11" s="2" t="s">
        <v>306</v>
      </c>
      <c r="D11" s="2" t="s">
        <v>307</v>
      </c>
      <c r="E11" s="33">
        <v>46072</v>
      </c>
      <c r="F11" s="27">
        <f t="shared" si="2"/>
        <v>0.33247685185051523</v>
      </c>
      <c r="G11" s="27"/>
      <c r="H11" s="27"/>
      <c r="I11" s="27">
        <f t="shared" si="0"/>
        <v>0.77309027777664596</v>
      </c>
      <c r="J11" s="8"/>
    </row>
    <row r="12" spans="1:12" x14ac:dyDescent="0.25">
      <c r="A12" s="6" t="s">
        <v>26</v>
      </c>
      <c r="B12" s="7" t="s">
        <v>27</v>
      </c>
      <c r="C12" s="2"/>
      <c r="D12" s="2" t="s">
        <v>308</v>
      </c>
      <c r="E12" s="33">
        <v>46073</v>
      </c>
      <c r="F12" s="27"/>
      <c r="G12" s="27"/>
      <c r="H12" s="27"/>
      <c r="I12" s="27">
        <f t="shared" si="0"/>
        <v>0.71179398147796746</v>
      </c>
      <c r="J12" s="8" t="s">
        <v>482</v>
      </c>
    </row>
    <row r="13" spans="1:12" x14ac:dyDescent="0.25">
      <c r="A13" s="6" t="s">
        <v>26</v>
      </c>
      <c r="B13" s="7" t="s">
        <v>27</v>
      </c>
      <c r="C13" s="2" t="s">
        <v>309</v>
      </c>
      <c r="D13" s="2" t="s">
        <v>310</v>
      </c>
      <c r="E13" s="33">
        <v>46074</v>
      </c>
      <c r="F13" s="48">
        <f t="shared" si="2"/>
        <v>0.39555555555853061</v>
      </c>
      <c r="G13" s="27"/>
      <c r="H13" s="27"/>
      <c r="I13" s="27">
        <f t="shared" si="0"/>
        <v>0.71706018518307246</v>
      </c>
      <c r="J13" s="8"/>
    </row>
    <row r="14" spans="1:12" x14ac:dyDescent="0.25">
      <c r="A14" s="6" t="s">
        <v>26</v>
      </c>
      <c r="B14" s="7" t="s">
        <v>27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26</v>
      </c>
      <c r="B15" s="7" t="s">
        <v>27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26</v>
      </c>
      <c r="B16" s="7" t="s">
        <v>27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26</v>
      </c>
      <c r="B17" s="7" t="s">
        <v>27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26</v>
      </c>
      <c r="B18" s="7" t="s">
        <v>27</v>
      </c>
      <c r="C18" s="28"/>
      <c r="D18" s="28"/>
      <c r="E18" s="33"/>
      <c r="F18" s="27"/>
      <c r="G18" s="29"/>
      <c r="H18" s="29"/>
      <c r="I18" s="27"/>
      <c r="J18" s="8"/>
    </row>
    <row r="19" spans="1:10" ht="15" customHeight="1" x14ac:dyDescent="0.25">
      <c r="A19" s="6"/>
      <c r="B19" s="7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988" priority="25" operator="equal">
      <formula>"UNDERTIME"</formula>
    </cfRule>
  </conditionalFormatting>
  <conditionalFormatting sqref="F3:H18">
    <cfRule type="cellIs" dxfId="987" priority="1" operator="equal">
      <formula>"UNDERTIME"</formula>
    </cfRule>
  </conditionalFormatting>
  <conditionalFormatting sqref="F1:J2 F19:J1048576">
    <cfRule type="cellIs" dxfId="986" priority="16" operator="equal">
      <formula>"UNDERTIME"</formula>
    </cfRule>
  </conditionalFormatting>
  <conditionalFormatting sqref="J1:J2 J14:J1048576">
    <cfRule type="cellIs" dxfId="985" priority="17" operator="equal">
      <formula>"UNDERTIME"</formula>
    </cfRule>
  </conditionalFormatting>
  <conditionalFormatting sqref="J1:J14">
    <cfRule type="cellIs" dxfId="984" priority="7" operator="equal">
      <formula>"OB"</formula>
    </cfRule>
  </conditionalFormatting>
  <conditionalFormatting sqref="J1:J1048576">
    <cfRule type="cellIs" dxfId="983" priority="6" operator="equal">
      <formula>"HOLIDAY"</formula>
    </cfRule>
    <cfRule type="cellIs" dxfId="982" priority="8" operator="equal">
      <formula>"RESTDAY"</formula>
    </cfRule>
    <cfRule type="cellIs" dxfId="981" priority="9" operator="equal">
      <formula>"HALF DAY"</formula>
    </cfRule>
    <cfRule type="cellIs" dxfId="980" priority="10" operator="equal">
      <formula>"ABSENT"</formula>
    </cfRule>
    <cfRule type="cellIs" dxfId="979" priority="12" operator="equal">
      <formula>"ABSENT"</formula>
    </cfRule>
  </conditionalFormatting>
  <conditionalFormatting sqref="J3:J14">
    <cfRule type="cellIs" dxfId="978" priority="11" operator="equal">
      <formula>"UNDERTIME"</formula>
    </cfRule>
  </conditionalFormatting>
  <conditionalFormatting sqref="J3:J18">
    <cfRule type="cellIs" dxfId="977" priority="5" operator="equal">
      <formula>"UNDERTIME"</formula>
    </cfRule>
  </conditionalFormatting>
  <conditionalFormatting sqref="J5:J1048576">
    <cfRule type="cellIs" dxfId="976" priority="14" operator="equal">
      <formula>"OB"</formula>
    </cfRule>
  </conditionalFormatting>
  <conditionalFormatting sqref="J6">
    <cfRule type="cellIs" dxfId="975" priority="4" operator="equal">
      <formula>"OB"</formula>
    </cfRule>
  </conditionalFormatting>
  <conditionalFormatting sqref="J7">
    <cfRule type="cellIs" dxfId="974" priority="15" operator="equal">
      <formula>"OB"</formula>
    </cfRule>
  </conditionalFormatting>
  <conditionalFormatting sqref="J13">
    <cfRule type="cellIs" dxfId="973" priority="13" operator="equal">
      <formula>"OB"</formula>
    </cfRule>
  </conditionalFormatting>
  <conditionalFormatting sqref="J14">
    <cfRule type="cellIs" dxfId="972" priority="3" operator="equal">
      <formula>"OB"</formula>
    </cfRule>
    <cfRule type="cellIs" dxfId="971" priority="18" operator="equal">
      <formula>"OB"</formula>
    </cfRule>
  </conditionalFormatting>
  <conditionalFormatting sqref="J14:J1048576">
    <cfRule type="cellIs" dxfId="970" priority="19" operator="equal">
      <formula>"OB"</formula>
    </cfRule>
  </conditionalFormatting>
  <conditionalFormatting sqref="J17:J18">
    <cfRule type="cellIs" dxfId="969" priority="20" operator="equal">
      <formula>"OB"</formula>
    </cfRule>
  </conditionalFormatting>
  <conditionalFormatting sqref="K6:K8">
    <cfRule type="containsText" dxfId="968" priority="43" operator="containsText" text="SUNDAY">
      <formula>NOT(ISERROR(SEARCH("SUNDAY",K6)))</formula>
    </cfRule>
    <cfRule type="containsText" dxfId="967" priority="44" operator="containsText" text="HOLIDAY">
      <formula>NOT(ISERROR(SEARCH("HOLIDAY",K6)))</formula>
    </cfRule>
  </conditionalFormatting>
  <conditionalFormatting sqref="K9">
    <cfRule type="containsText" dxfId="966" priority="45" operator="containsText" text="SUNDAY">
      <formula>NOT(ISERROR(SEARCH("SUNDAY",K9)))</formula>
    </cfRule>
    <cfRule type="containsText" dxfId="965" priority="46" operator="containsText" text="HOLIDAY">
      <formula>NOT(ISERROR(SEARCH("HOLIDAY",K9)))</formula>
    </cfRule>
  </conditionalFormatting>
  <conditionalFormatting sqref="L5:L9">
    <cfRule type="containsText" dxfId="964" priority="41" operator="containsText" text="SUNDAY">
      <formula>NOT(ISERROR(SEARCH("SUNDAY",L5)))</formula>
    </cfRule>
    <cfRule type="containsText" dxfId="963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647FC-9396-4482-84D4-0CB67A3B7770}">
  <dimension ref="A1:L26"/>
  <sheetViews>
    <sheetView zoomScaleNormal="100" zoomScaleSheetLayoutView="93" workbookViewId="0">
      <selection activeCell="L7" sqref="L7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28</v>
      </c>
      <c r="B3" s="7" t="s">
        <v>29</v>
      </c>
      <c r="C3" s="2" t="s">
        <v>311</v>
      </c>
      <c r="D3" s="2" t="s">
        <v>312</v>
      </c>
      <c r="E3" s="33">
        <v>46064</v>
      </c>
      <c r="F3" s="27">
        <f>C3-E3</f>
        <v>0.32600694444408873</v>
      </c>
      <c r="G3" s="27"/>
      <c r="H3" s="27"/>
      <c r="I3" s="27">
        <f t="shared" ref="I3:I13" si="0">D3-E3</f>
        <v>0.71138888888526708</v>
      </c>
      <c r="J3" s="8"/>
    </row>
    <row r="4" spans="1:12" x14ac:dyDescent="0.25">
      <c r="A4" s="6" t="s">
        <v>28</v>
      </c>
      <c r="B4" s="7" t="s">
        <v>29</v>
      </c>
      <c r="C4" s="2" t="s">
        <v>313</v>
      </c>
      <c r="D4" s="2" t="s">
        <v>314</v>
      </c>
      <c r="E4" s="33">
        <v>46065</v>
      </c>
      <c r="F4" s="27">
        <f t="shared" ref="F4:F5" si="1">C4-E4</f>
        <v>0.33025462963269092</v>
      </c>
      <c r="G4" s="27"/>
      <c r="H4" s="27"/>
      <c r="I4" s="27">
        <f t="shared" si="0"/>
        <v>0.70908564814453712</v>
      </c>
      <c r="J4" s="8"/>
    </row>
    <row r="5" spans="1:12" x14ac:dyDescent="0.25">
      <c r="A5" s="6" t="s">
        <v>28</v>
      </c>
      <c r="B5" s="7" t="s">
        <v>29</v>
      </c>
      <c r="C5" s="2" t="s">
        <v>315</v>
      </c>
      <c r="D5" s="2" t="s">
        <v>316</v>
      </c>
      <c r="E5" s="33">
        <v>46066</v>
      </c>
      <c r="F5" s="27">
        <f t="shared" si="1"/>
        <v>0.33054398147942265</v>
      </c>
      <c r="G5" s="27"/>
      <c r="H5" s="27"/>
      <c r="I5" s="27">
        <f t="shared" si="0"/>
        <v>0.70869212962861639</v>
      </c>
      <c r="J5" s="8"/>
      <c r="K5" s="3" t="s">
        <v>6</v>
      </c>
      <c r="L5" s="4">
        <v>0</v>
      </c>
    </row>
    <row r="6" spans="1:12" x14ac:dyDescent="0.25">
      <c r="A6" s="6" t="s">
        <v>28</v>
      </c>
      <c r="B6" s="7" t="s">
        <v>29</v>
      </c>
      <c r="C6" s="2"/>
      <c r="D6" s="28"/>
      <c r="E6" s="33">
        <v>46067</v>
      </c>
      <c r="F6" s="27"/>
      <c r="G6" s="27"/>
      <c r="H6" s="27"/>
      <c r="I6" s="27"/>
      <c r="J6" s="8" t="s">
        <v>156</v>
      </c>
      <c r="K6" s="3" t="s">
        <v>7</v>
      </c>
      <c r="L6" s="4">
        <v>2</v>
      </c>
    </row>
    <row r="7" spans="1:12" x14ac:dyDescent="0.25">
      <c r="A7" s="6" t="s">
        <v>28</v>
      </c>
      <c r="B7" s="7" t="s">
        <v>29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4</v>
      </c>
    </row>
    <row r="8" spans="1:12" x14ac:dyDescent="0.25">
      <c r="A8" s="6" t="s">
        <v>28</v>
      </c>
      <c r="B8" s="7" t="s">
        <v>29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28</v>
      </c>
      <c r="B9" s="7" t="s">
        <v>29</v>
      </c>
      <c r="C9" s="2" t="s">
        <v>317</v>
      </c>
      <c r="D9" s="2" t="s">
        <v>318</v>
      </c>
      <c r="E9" s="33">
        <v>46070</v>
      </c>
      <c r="F9" s="27">
        <f t="shared" ref="F9:F13" si="2">C9-E9</f>
        <v>0.31625000000349246</v>
      </c>
      <c r="G9" s="27"/>
      <c r="H9" s="27"/>
      <c r="I9" s="27">
        <f t="shared" si="0"/>
        <v>0.70989583332993789</v>
      </c>
      <c r="J9" s="8"/>
      <c r="K9" s="3" t="s">
        <v>10</v>
      </c>
      <c r="L9" s="4">
        <v>0</v>
      </c>
    </row>
    <row r="10" spans="1:12" x14ac:dyDescent="0.25">
      <c r="A10" s="6" t="s">
        <v>28</v>
      </c>
      <c r="B10" s="7" t="s">
        <v>29</v>
      </c>
      <c r="C10" s="2" t="s">
        <v>319</v>
      </c>
      <c r="D10" s="2" t="s">
        <v>320</v>
      </c>
      <c r="E10" s="33">
        <v>46071</v>
      </c>
      <c r="F10" s="48">
        <f t="shared" si="2"/>
        <v>0.33666666666977108</v>
      </c>
      <c r="G10" s="27"/>
      <c r="H10" s="27"/>
      <c r="I10" s="27">
        <f t="shared" si="0"/>
        <v>0.70937499999854481</v>
      </c>
      <c r="J10" s="8"/>
    </row>
    <row r="11" spans="1:12" x14ac:dyDescent="0.25">
      <c r="A11" s="6" t="s">
        <v>28</v>
      </c>
      <c r="B11" s="7" t="s">
        <v>29</v>
      </c>
      <c r="C11" s="2" t="s">
        <v>321</v>
      </c>
      <c r="D11" s="2" t="s">
        <v>322</v>
      </c>
      <c r="E11" s="33">
        <v>46072</v>
      </c>
      <c r="F11" s="27">
        <f t="shared" si="2"/>
        <v>0.32791666666889796</v>
      </c>
      <c r="G11" s="27"/>
      <c r="H11" s="27"/>
      <c r="I11" s="27">
        <f t="shared" si="0"/>
        <v>0.70881944444408873</v>
      </c>
      <c r="J11" s="8"/>
    </row>
    <row r="12" spans="1:12" x14ac:dyDescent="0.25">
      <c r="A12" s="6" t="s">
        <v>28</v>
      </c>
      <c r="B12" s="7" t="s">
        <v>29</v>
      </c>
      <c r="C12" s="2" t="s">
        <v>323</v>
      </c>
      <c r="D12" s="2" t="s">
        <v>324</v>
      </c>
      <c r="E12" s="33">
        <v>46073</v>
      </c>
      <c r="F12" s="27">
        <f t="shared" si="2"/>
        <v>0.32284722222539131</v>
      </c>
      <c r="G12" s="27"/>
      <c r="H12" s="27"/>
      <c r="I12" s="27">
        <f t="shared" si="0"/>
        <v>0.71108796296175569</v>
      </c>
      <c r="J12" s="8"/>
    </row>
    <row r="13" spans="1:12" x14ac:dyDescent="0.25">
      <c r="A13" s="6" t="s">
        <v>28</v>
      </c>
      <c r="B13" s="7" t="s">
        <v>29</v>
      </c>
      <c r="C13" s="2" t="s">
        <v>325</v>
      </c>
      <c r="D13" s="2" t="s">
        <v>326</v>
      </c>
      <c r="E13" s="33">
        <v>46074</v>
      </c>
      <c r="F13" s="27">
        <f t="shared" si="2"/>
        <v>0.32732638889137888</v>
      </c>
      <c r="G13" s="27"/>
      <c r="H13" s="27"/>
      <c r="I13" s="27">
        <f t="shared" si="0"/>
        <v>0.70984953703737119</v>
      </c>
      <c r="J13" s="8"/>
    </row>
    <row r="14" spans="1:12" x14ac:dyDescent="0.25">
      <c r="A14" s="6" t="s">
        <v>28</v>
      </c>
      <c r="B14" s="7" t="s">
        <v>29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28</v>
      </c>
      <c r="B15" s="7" t="s">
        <v>29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28</v>
      </c>
      <c r="B16" s="7" t="s">
        <v>29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28</v>
      </c>
      <c r="B17" s="7" t="s">
        <v>29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28</v>
      </c>
      <c r="B18" s="7" t="s">
        <v>29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A19" s="5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42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962" priority="25" operator="equal">
      <formula>"UNDERTIME"</formula>
    </cfRule>
  </conditionalFormatting>
  <conditionalFormatting sqref="F3:H18">
    <cfRule type="cellIs" dxfId="961" priority="1" operator="equal">
      <formula>"UNDERTIME"</formula>
    </cfRule>
  </conditionalFormatting>
  <conditionalFormatting sqref="F1:J2 F19:J1048576">
    <cfRule type="cellIs" dxfId="960" priority="16" operator="equal">
      <formula>"UNDERTIME"</formula>
    </cfRule>
  </conditionalFormatting>
  <conditionalFormatting sqref="J1:J2 J14:J1048576">
    <cfRule type="cellIs" dxfId="959" priority="17" operator="equal">
      <formula>"UNDERTIME"</formula>
    </cfRule>
  </conditionalFormatting>
  <conditionalFormatting sqref="J1:J14">
    <cfRule type="cellIs" dxfId="958" priority="7" operator="equal">
      <formula>"OB"</formula>
    </cfRule>
  </conditionalFormatting>
  <conditionalFormatting sqref="J1:J1048576">
    <cfRule type="cellIs" dxfId="957" priority="6" operator="equal">
      <formula>"HOLIDAY"</formula>
    </cfRule>
    <cfRule type="cellIs" dxfId="956" priority="8" operator="equal">
      <formula>"RESTDAY"</formula>
    </cfRule>
    <cfRule type="cellIs" dxfId="955" priority="9" operator="equal">
      <formula>"HALF DAY"</formula>
    </cfRule>
    <cfRule type="cellIs" dxfId="954" priority="10" operator="equal">
      <formula>"ABSENT"</formula>
    </cfRule>
    <cfRule type="cellIs" dxfId="953" priority="12" operator="equal">
      <formula>"ABSENT"</formula>
    </cfRule>
  </conditionalFormatting>
  <conditionalFormatting sqref="J3:J14">
    <cfRule type="cellIs" dxfId="952" priority="11" operator="equal">
      <formula>"UNDERTIME"</formula>
    </cfRule>
  </conditionalFormatting>
  <conditionalFormatting sqref="J3:J18">
    <cfRule type="cellIs" dxfId="951" priority="5" operator="equal">
      <formula>"UNDERTIME"</formula>
    </cfRule>
  </conditionalFormatting>
  <conditionalFormatting sqref="J5:J1048576">
    <cfRule type="cellIs" dxfId="950" priority="14" operator="equal">
      <formula>"OB"</formula>
    </cfRule>
  </conditionalFormatting>
  <conditionalFormatting sqref="J6">
    <cfRule type="cellIs" dxfId="949" priority="4" operator="equal">
      <formula>"OB"</formula>
    </cfRule>
  </conditionalFormatting>
  <conditionalFormatting sqref="J7">
    <cfRule type="cellIs" dxfId="948" priority="15" operator="equal">
      <formula>"OB"</formula>
    </cfRule>
  </conditionalFormatting>
  <conditionalFormatting sqref="J13">
    <cfRule type="cellIs" dxfId="947" priority="13" operator="equal">
      <formula>"OB"</formula>
    </cfRule>
  </conditionalFormatting>
  <conditionalFormatting sqref="J14">
    <cfRule type="cellIs" dxfId="946" priority="3" operator="equal">
      <formula>"OB"</formula>
    </cfRule>
    <cfRule type="cellIs" dxfId="945" priority="18" operator="equal">
      <formula>"OB"</formula>
    </cfRule>
  </conditionalFormatting>
  <conditionalFormatting sqref="J14:J1048576">
    <cfRule type="cellIs" dxfId="944" priority="19" operator="equal">
      <formula>"OB"</formula>
    </cfRule>
  </conditionalFormatting>
  <conditionalFormatting sqref="J17:J18">
    <cfRule type="cellIs" dxfId="943" priority="20" operator="equal">
      <formula>"OB"</formula>
    </cfRule>
  </conditionalFormatting>
  <conditionalFormatting sqref="K6:K8">
    <cfRule type="containsText" dxfId="942" priority="43" operator="containsText" text="SUNDAY">
      <formula>NOT(ISERROR(SEARCH("SUNDAY",K6)))</formula>
    </cfRule>
    <cfRule type="containsText" dxfId="941" priority="44" operator="containsText" text="HOLIDAY">
      <formula>NOT(ISERROR(SEARCH("HOLIDAY",K6)))</formula>
    </cfRule>
  </conditionalFormatting>
  <conditionalFormatting sqref="K9">
    <cfRule type="containsText" dxfId="940" priority="45" operator="containsText" text="SUNDAY">
      <formula>NOT(ISERROR(SEARCH("SUNDAY",K9)))</formula>
    </cfRule>
    <cfRule type="containsText" dxfId="939" priority="46" operator="containsText" text="HOLIDAY">
      <formula>NOT(ISERROR(SEARCH("HOLIDAY",K9)))</formula>
    </cfRule>
  </conditionalFormatting>
  <conditionalFormatting sqref="L5:L9">
    <cfRule type="containsText" dxfId="938" priority="41" operator="containsText" text="SUNDAY">
      <formula>NOT(ISERROR(SEARCH("SUNDAY",L5)))</formula>
    </cfRule>
    <cfRule type="containsText" dxfId="937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DF2B-9F47-4F97-B46C-91EEEFE063E7}">
  <dimension ref="A1:L26"/>
  <sheetViews>
    <sheetView zoomScaleNormal="100" zoomScaleSheetLayoutView="93" workbookViewId="0">
      <selection activeCell="L9" sqref="L9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30</v>
      </c>
      <c r="B3" s="7" t="s">
        <v>31</v>
      </c>
      <c r="C3" s="2" t="s">
        <v>327</v>
      </c>
      <c r="D3" s="2" t="s">
        <v>328</v>
      </c>
      <c r="E3" s="33">
        <v>46064</v>
      </c>
      <c r="F3" s="27">
        <f>C3-E3</f>
        <v>0.33015046296350192</v>
      </c>
      <c r="G3" s="27"/>
      <c r="H3" s="27"/>
      <c r="I3" s="27">
        <f t="shared" ref="I3:I13" si="0">D3-E3</f>
        <v>0.72619212963036261</v>
      </c>
      <c r="J3" s="8"/>
    </row>
    <row r="4" spans="1:12" x14ac:dyDescent="0.25">
      <c r="A4" s="6" t="s">
        <v>30</v>
      </c>
      <c r="B4" s="7" t="s">
        <v>31</v>
      </c>
      <c r="C4" s="2" t="s">
        <v>329</v>
      </c>
      <c r="D4" s="2" t="s">
        <v>330</v>
      </c>
      <c r="E4" s="33">
        <v>46065</v>
      </c>
      <c r="F4" s="27">
        <f t="shared" ref="F4:F6" si="1">C4-E4</f>
        <v>0.33193287037283881</v>
      </c>
      <c r="G4" s="27"/>
      <c r="H4" s="27"/>
      <c r="I4" s="27">
        <f t="shared" si="0"/>
        <v>0.73312499999883585</v>
      </c>
      <c r="J4" s="8" t="s">
        <v>919</v>
      </c>
    </row>
    <row r="5" spans="1:12" x14ac:dyDescent="0.25">
      <c r="A5" s="6" t="s">
        <v>30</v>
      </c>
      <c r="B5" s="7" t="s">
        <v>31</v>
      </c>
      <c r="C5" s="2" t="s">
        <v>331</v>
      </c>
      <c r="D5" s="2" t="s">
        <v>332</v>
      </c>
      <c r="E5" s="33">
        <v>46066</v>
      </c>
      <c r="F5" s="27">
        <f t="shared" si="1"/>
        <v>0.3321527777807205</v>
      </c>
      <c r="G5" s="27"/>
      <c r="H5" s="27"/>
      <c r="I5" s="27">
        <f t="shared" si="0"/>
        <v>0.7225347222192795</v>
      </c>
      <c r="J5" s="8"/>
      <c r="K5" s="3" t="s">
        <v>6</v>
      </c>
      <c r="L5" s="4">
        <v>0</v>
      </c>
    </row>
    <row r="6" spans="1:12" x14ac:dyDescent="0.25">
      <c r="A6" s="6" t="s">
        <v>30</v>
      </c>
      <c r="B6" s="7" t="s">
        <v>31</v>
      </c>
      <c r="C6" s="2" t="s">
        <v>333</v>
      </c>
      <c r="D6" s="2" t="s">
        <v>334</v>
      </c>
      <c r="E6" s="33">
        <v>46067</v>
      </c>
      <c r="F6" s="48">
        <f t="shared" si="1"/>
        <v>0.33782407407124992</v>
      </c>
      <c r="G6" s="27"/>
      <c r="H6" s="27"/>
      <c r="I6" s="27">
        <f t="shared" si="0"/>
        <v>0.71763888889108784</v>
      </c>
      <c r="J6" s="8"/>
      <c r="K6" s="3" t="s">
        <v>7</v>
      </c>
      <c r="L6" s="4">
        <v>0</v>
      </c>
    </row>
    <row r="7" spans="1:12" x14ac:dyDescent="0.25">
      <c r="A7" s="6" t="s">
        <v>30</v>
      </c>
      <c r="B7" s="7" t="s">
        <v>31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6</v>
      </c>
    </row>
    <row r="8" spans="1:12" x14ac:dyDescent="0.25">
      <c r="A8" s="6" t="s">
        <v>30</v>
      </c>
      <c r="B8" s="7" t="s">
        <v>31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30</v>
      </c>
      <c r="B9" s="7" t="s">
        <v>31</v>
      </c>
      <c r="C9" s="2" t="s">
        <v>335</v>
      </c>
      <c r="D9" s="2" t="s">
        <v>336</v>
      </c>
      <c r="E9" s="33">
        <v>46070</v>
      </c>
      <c r="F9" s="27">
        <f t="shared" ref="F9:F13" si="2">C9-E9</f>
        <v>0.32605324074393138</v>
      </c>
      <c r="G9" s="27"/>
      <c r="H9" s="27"/>
      <c r="I9" s="27">
        <f t="shared" si="0"/>
        <v>0.72767361110891216</v>
      </c>
      <c r="J9" s="8"/>
      <c r="K9" s="3" t="s">
        <v>10</v>
      </c>
      <c r="L9" s="4">
        <f>0.75+1</f>
        <v>1.75</v>
      </c>
    </row>
    <row r="10" spans="1:12" x14ac:dyDescent="0.25">
      <c r="A10" s="6" t="s">
        <v>30</v>
      </c>
      <c r="B10" s="7" t="s">
        <v>31</v>
      </c>
      <c r="C10" s="2" t="s">
        <v>337</v>
      </c>
      <c r="D10" s="2" t="s">
        <v>338</v>
      </c>
      <c r="E10" s="33">
        <v>46071</v>
      </c>
      <c r="F10" s="27">
        <f t="shared" si="2"/>
        <v>0.32094907407736173</v>
      </c>
      <c r="G10" s="27"/>
      <c r="H10" s="27"/>
      <c r="I10" s="27">
        <f t="shared" si="0"/>
        <v>0.75584490740584442</v>
      </c>
      <c r="J10" s="8"/>
    </row>
    <row r="11" spans="1:12" x14ac:dyDescent="0.25">
      <c r="A11" s="6" t="s">
        <v>30</v>
      </c>
      <c r="B11" s="7" t="s">
        <v>31</v>
      </c>
      <c r="C11" s="2" t="s">
        <v>339</v>
      </c>
      <c r="D11" s="2" t="s">
        <v>340</v>
      </c>
      <c r="E11" s="33">
        <v>46072</v>
      </c>
      <c r="F11" s="27">
        <f t="shared" si="2"/>
        <v>0.32240740740962792</v>
      </c>
      <c r="G11" s="27"/>
      <c r="H11" s="27"/>
      <c r="I11" s="27">
        <f t="shared" si="0"/>
        <v>0.72410879629751435</v>
      </c>
      <c r="J11" s="8"/>
    </row>
    <row r="12" spans="1:12" x14ac:dyDescent="0.25">
      <c r="A12" s="6" t="s">
        <v>30</v>
      </c>
      <c r="B12" s="7" t="s">
        <v>31</v>
      </c>
      <c r="C12" s="2" t="s">
        <v>341</v>
      </c>
      <c r="D12" s="2" t="s">
        <v>342</v>
      </c>
      <c r="E12" s="33">
        <v>46073</v>
      </c>
      <c r="F12" s="27">
        <f t="shared" si="2"/>
        <v>0.32712962962978054</v>
      </c>
      <c r="G12" s="27"/>
      <c r="H12" s="27"/>
      <c r="I12" s="27">
        <v>0.75</v>
      </c>
      <c r="J12" s="8" t="s">
        <v>919</v>
      </c>
    </row>
    <row r="13" spans="1:12" x14ac:dyDescent="0.25">
      <c r="A13" s="6" t="s">
        <v>30</v>
      </c>
      <c r="B13" s="7" t="s">
        <v>31</v>
      </c>
      <c r="C13" s="2" t="s">
        <v>343</v>
      </c>
      <c r="D13" s="2" t="s">
        <v>344</v>
      </c>
      <c r="E13" s="33">
        <v>46074</v>
      </c>
      <c r="F13" s="27">
        <f t="shared" si="2"/>
        <v>0.33296296296612127</v>
      </c>
      <c r="G13" s="27"/>
      <c r="H13" s="27"/>
      <c r="I13" s="27">
        <f t="shared" si="0"/>
        <v>0.71743055555270985</v>
      </c>
      <c r="J13" s="8"/>
    </row>
    <row r="14" spans="1:12" x14ac:dyDescent="0.25">
      <c r="A14" s="6" t="s">
        <v>30</v>
      </c>
      <c r="B14" s="7" t="s">
        <v>31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30</v>
      </c>
      <c r="B15" s="7" t="s">
        <v>31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30</v>
      </c>
      <c r="B16" s="7" t="s">
        <v>31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30</v>
      </c>
      <c r="B17" s="7" t="s">
        <v>31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30</v>
      </c>
      <c r="B18" s="7" t="s">
        <v>31</v>
      </c>
      <c r="C18" s="28"/>
      <c r="D18" s="28"/>
      <c r="E18" s="33"/>
      <c r="F18" s="27"/>
      <c r="G18" s="29"/>
      <c r="H18" s="29"/>
      <c r="I18" s="27"/>
      <c r="J18" s="8"/>
    </row>
    <row r="19" spans="1:10" ht="15" customHeight="1" x14ac:dyDescent="0.25">
      <c r="A19" s="6"/>
      <c r="B19" s="7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936" priority="25" operator="equal">
      <formula>"UNDERTIME"</formula>
    </cfRule>
  </conditionalFormatting>
  <conditionalFormatting sqref="F3:H18">
    <cfRule type="cellIs" dxfId="935" priority="1" operator="equal">
      <formula>"UNDERTIME"</formula>
    </cfRule>
  </conditionalFormatting>
  <conditionalFormatting sqref="F1:J2 F19:J1048576">
    <cfRule type="cellIs" dxfId="934" priority="16" operator="equal">
      <formula>"UNDERTIME"</formula>
    </cfRule>
  </conditionalFormatting>
  <conditionalFormatting sqref="J1:J2 J14:J1048576">
    <cfRule type="cellIs" dxfId="933" priority="17" operator="equal">
      <formula>"UNDERTIME"</formula>
    </cfRule>
  </conditionalFormatting>
  <conditionalFormatting sqref="J1:J14">
    <cfRule type="cellIs" dxfId="932" priority="7" operator="equal">
      <formula>"OB"</formula>
    </cfRule>
  </conditionalFormatting>
  <conditionalFormatting sqref="J1:J1048576">
    <cfRule type="cellIs" dxfId="931" priority="6" operator="equal">
      <formula>"HOLIDAY"</formula>
    </cfRule>
    <cfRule type="cellIs" dxfId="930" priority="8" operator="equal">
      <formula>"RESTDAY"</formula>
    </cfRule>
    <cfRule type="cellIs" dxfId="929" priority="9" operator="equal">
      <formula>"HALF DAY"</formula>
    </cfRule>
    <cfRule type="cellIs" dxfId="928" priority="10" operator="equal">
      <formula>"ABSENT"</formula>
    </cfRule>
    <cfRule type="cellIs" dxfId="927" priority="12" operator="equal">
      <formula>"ABSENT"</formula>
    </cfRule>
  </conditionalFormatting>
  <conditionalFormatting sqref="J3:J14">
    <cfRule type="cellIs" dxfId="926" priority="11" operator="equal">
      <formula>"UNDERTIME"</formula>
    </cfRule>
  </conditionalFormatting>
  <conditionalFormatting sqref="J3:J18">
    <cfRule type="cellIs" dxfId="925" priority="5" operator="equal">
      <formula>"UNDERTIME"</formula>
    </cfRule>
  </conditionalFormatting>
  <conditionalFormatting sqref="J5:J1048576">
    <cfRule type="cellIs" dxfId="924" priority="14" operator="equal">
      <formula>"OB"</formula>
    </cfRule>
  </conditionalFormatting>
  <conditionalFormatting sqref="J6">
    <cfRule type="cellIs" dxfId="923" priority="4" operator="equal">
      <formula>"OB"</formula>
    </cfRule>
  </conditionalFormatting>
  <conditionalFormatting sqref="J7">
    <cfRule type="cellIs" dxfId="922" priority="15" operator="equal">
      <formula>"OB"</formula>
    </cfRule>
  </conditionalFormatting>
  <conditionalFormatting sqref="J13">
    <cfRule type="cellIs" dxfId="921" priority="13" operator="equal">
      <formula>"OB"</formula>
    </cfRule>
  </conditionalFormatting>
  <conditionalFormatting sqref="J14">
    <cfRule type="cellIs" dxfId="920" priority="3" operator="equal">
      <formula>"OB"</formula>
    </cfRule>
    <cfRule type="cellIs" dxfId="919" priority="18" operator="equal">
      <formula>"OB"</formula>
    </cfRule>
  </conditionalFormatting>
  <conditionalFormatting sqref="J14:J1048576">
    <cfRule type="cellIs" dxfId="918" priority="19" operator="equal">
      <formula>"OB"</formula>
    </cfRule>
  </conditionalFormatting>
  <conditionalFormatting sqref="J17:J18">
    <cfRule type="cellIs" dxfId="917" priority="20" operator="equal">
      <formula>"OB"</formula>
    </cfRule>
  </conditionalFormatting>
  <conditionalFormatting sqref="K6:K8">
    <cfRule type="containsText" dxfId="916" priority="43" operator="containsText" text="SUNDAY">
      <formula>NOT(ISERROR(SEARCH("SUNDAY",K6)))</formula>
    </cfRule>
    <cfRule type="containsText" dxfId="915" priority="44" operator="containsText" text="HOLIDAY">
      <formula>NOT(ISERROR(SEARCH("HOLIDAY",K6)))</formula>
    </cfRule>
  </conditionalFormatting>
  <conditionalFormatting sqref="K9">
    <cfRule type="containsText" dxfId="914" priority="45" operator="containsText" text="SUNDAY">
      <formula>NOT(ISERROR(SEARCH("SUNDAY",K9)))</formula>
    </cfRule>
    <cfRule type="containsText" dxfId="913" priority="46" operator="containsText" text="HOLIDAY">
      <formula>NOT(ISERROR(SEARCH("HOLIDAY",K9)))</formula>
    </cfRule>
  </conditionalFormatting>
  <conditionalFormatting sqref="L5:L9">
    <cfRule type="containsText" dxfId="912" priority="41" operator="containsText" text="SUNDAY">
      <formula>NOT(ISERROR(SEARCH("SUNDAY",L5)))</formula>
    </cfRule>
    <cfRule type="containsText" dxfId="911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3ACFB-BC7C-43AC-A0C6-B410F375C31D}">
  <dimension ref="A1:L26"/>
  <sheetViews>
    <sheetView zoomScaleNormal="100" zoomScaleSheetLayoutView="93" workbookViewId="0">
      <selection activeCell="G23" sqref="G23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32</v>
      </c>
      <c r="B3" s="7" t="s">
        <v>33</v>
      </c>
      <c r="C3" s="2" t="s">
        <v>345</v>
      </c>
      <c r="D3" s="2" t="s">
        <v>346</v>
      </c>
      <c r="E3" s="33">
        <v>46064</v>
      </c>
      <c r="F3" s="27">
        <f>C3-E3</f>
        <v>0.33241898148116888</v>
      </c>
      <c r="G3" s="27"/>
      <c r="H3" s="27"/>
      <c r="I3" s="27">
        <f t="shared" ref="I3:I13" si="0">D3-E3</f>
        <v>0.70861111111298669</v>
      </c>
      <c r="J3" s="8"/>
    </row>
    <row r="4" spans="1:12" x14ac:dyDescent="0.25">
      <c r="A4" s="6" t="s">
        <v>32</v>
      </c>
      <c r="B4" s="7" t="s">
        <v>33</v>
      </c>
      <c r="C4" s="2" t="s">
        <v>347</v>
      </c>
      <c r="D4" s="2" t="s">
        <v>348</v>
      </c>
      <c r="E4" s="33">
        <v>46065</v>
      </c>
      <c r="F4" s="27">
        <f t="shared" ref="F4:F6" si="1">C4-E4</f>
        <v>0.33084490741021</v>
      </c>
      <c r="G4" s="27"/>
      <c r="H4" s="27"/>
      <c r="I4" s="27">
        <f t="shared" si="0"/>
        <v>0.70906249999825377</v>
      </c>
      <c r="J4" s="8"/>
    </row>
    <row r="5" spans="1:12" x14ac:dyDescent="0.25">
      <c r="A5" s="6" t="s">
        <v>32</v>
      </c>
      <c r="B5" s="7" t="s">
        <v>33</v>
      </c>
      <c r="C5" s="2" t="s">
        <v>349</v>
      </c>
      <c r="D5" s="2" t="s">
        <v>350</v>
      </c>
      <c r="E5" s="33">
        <v>46066</v>
      </c>
      <c r="F5" s="27">
        <f t="shared" si="1"/>
        <v>0.33221064815006685</v>
      </c>
      <c r="G5" s="27"/>
      <c r="H5" s="27"/>
      <c r="I5" s="27">
        <f t="shared" si="0"/>
        <v>0.70915509259066312</v>
      </c>
      <c r="J5" s="8"/>
      <c r="K5" s="3" t="s">
        <v>6</v>
      </c>
      <c r="L5" s="4">
        <v>0</v>
      </c>
    </row>
    <row r="6" spans="1:12" x14ac:dyDescent="0.25">
      <c r="A6" s="6" t="s">
        <v>32</v>
      </c>
      <c r="B6" s="7" t="s">
        <v>33</v>
      </c>
      <c r="C6" s="2" t="s">
        <v>351</v>
      </c>
      <c r="D6" s="2" t="s">
        <v>352</v>
      </c>
      <c r="E6" s="33">
        <v>46067</v>
      </c>
      <c r="F6" s="27">
        <f t="shared" si="1"/>
        <v>0.32983796296321088</v>
      </c>
      <c r="G6" s="27"/>
      <c r="H6" s="27"/>
      <c r="I6" s="27">
        <f t="shared" si="0"/>
        <v>0.70841435185138835</v>
      </c>
      <c r="J6" s="8"/>
      <c r="K6" s="3" t="s">
        <v>7</v>
      </c>
      <c r="L6" s="4">
        <v>0</v>
      </c>
    </row>
    <row r="7" spans="1:12" x14ac:dyDescent="0.25">
      <c r="A7" s="6" t="s">
        <v>32</v>
      </c>
      <c r="B7" s="7" t="s">
        <v>33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32</v>
      </c>
      <c r="B8" s="7" t="s">
        <v>33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32</v>
      </c>
      <c r="B9" s="7" t="s">
        <v>33</v>
      </c>
      <c r="C9" s="2" t="s">
        <v>353</v>
      </c>
      <c r="D9" s="2" t="s">
        <v>354</v>
      </c>
      <c r="E9" s="33">
        <v>46070</v>
      </c>
      <c r="F9" s="27">
        <f t="shared" ref="F9:F13" si="2">C9-E9</f>
        <v>0.32761574073811062</v>
      </c>
      <c r="G9" s="27"/>
      <c r="H9" s="27"/>
      <c r="I9" s="27">
        <f t="shared" si="0"/>
        <v>0.70995370370656019</v>
      </c>
      <c r="J9" s="8"/>
      <c r="K9" s="3" t="s">
        <v>10</v>
      </c>
      <c r="L9" s="4">
        <v>0</v>
      </c>
    </row>
    <row r="10" spans="1:12" x14ac:dyDescent="0.25">
      <c r="A10" s="6" t="s">
        <v>32</v>
      </c>
      <c r="B10" s="7" t="s">
        <v>33</v>
      </c>
      <c r="C10" s="2" t="s">
        <v>355</v>
      </c>
      <c r="D10" s="2" t="s">
        <v>356</v>
      </c>
      <c r="E10" s="33">
        <v>46071</v>
      </c>
      <c r="F10" s="27">
        <f t="shared" si="2"/>
        <v>0.33106481481809169</v>
      </c>
      <c r="G10" s="27"/>
      <c r="H10" s="27"/>
      <c r="I10" s="27">
        <f t="shared" si="0"/>
        <v>0.70960648148320615</v>
      </c>
      <c r="J10" s="8"/>
    </row>
    <row r="11" spans="1:12" x14ac:dyDescent="0.25">
      <c r="A11" s="6" t="s">
        <v>32</v>
      </c>
      <c r="B11" s="7" t="s">
        <v>33</v>
      </c>
      <c r="C11" s="2" t="s">
        <v>357</v>
      </c>
      <c r="D11" s="2" t="s">
        <v>358</v>
      </c>
      <c r="E11" s="33">
        <v>46072</v>
      </c>
      <c r="F11" s="27">
        <f t="shared" si="2"/>
        <v>0.33142361111094942</v>
      </c>
      <c r="G11" s="27"/>
      <c r="H11" s="27"/>
      <c r="I11" s="27">
        <f t="shared" si="0"/>
        <v>0.70942129629838746</v>
      </c>
      <c r="J11" s="8"/>
    </row>
    <row r="12" spans="1:12" x14ac:dyDescent="0.25">
      <c r="A12" s="6" t="s">
        <v>32</v>
      </c>
      <c r="B12" s="7" t="s">
        <v>33</v>
      </c>
      <c r="C12" s="2" t="s">
        <v>359</v>
      </c>
      <c r="D12" s="2" t="s">
        <v>360</v>
      </c>
      <c r="E12" s="33">
        <v>46073</v>
      </c>
      <c r="F12" s="27">
        <f t="shared" si="2"/>
        <v>0.33116898148000473</v>
      </c>
      <c r="G12" s="27"/>
      <c r="H12" s="27"/>
      <c r="I12" s="27">
        <f t="shared" si="0"/>
        <v>0.70853009259008104</v>
      </c>
      <c r="J12" s="8"/>
    </row>
    <row r="13" spans="1:12" x14ac:dyDescent="0.25">
      <c r="A13" s="6" t="s">
        <v>32</v>
      </c>
      <c r="B13" s="7" t="s">
        <v>33</v>
      </c>
      <c r="C13" s="2" t="s">
        <v>361</v>
      </c>
      <c r="D13" s="2" t="s">
        <v>362</v>
      </c>
      <c r="E13" s="33">
        <v>46074</v>
      </c>
      <c r="F13" s="27">
        <f t="shared" si="2"/>
        <v>0.33012731481721858</v>
      </c>
      <c r="G13" s="27"/>
      <c r="H13" s="27"/>
      <c r="I13" s="27">
        <f t="shared" si="0"/>
        <v>0.70980324073752854</v>
      </c>
      <c r="J13" s="8"/>
    </row>
    <row r="14" spans="1:12" x14ac:dyDescent="0.25">
      <c r="A14" s="6" t="s">
        <v>32</v>
      </c>
      <c r="B14" s="7" t="s">
        <v>33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32</v>
      </c>
      <c r="B15" s="7" t="s">
        <v>33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32</v>
      </c>
      <c r="B16" s="7" t="s">
        <v>33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32</v>
      </c>
      <c r="B17" s="7" t="s">
        <v>33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32</v>
      </c>
      <c r="B18" s="7" t="s">
        <v>33</v>
      </c>
      <c r="C18" s="28"/>
      <c r="D18" s="28"/>
      <c r="E18" s="33"/>
      <c r="F18" s="27"/>
      <c r="G18" s="29"/>
      <c r="H18" s="29"/>
      <c r="I18" s="27"/>
      <c r="J18" s="8"/>
    </row>
    <row r="19" spans="1:10" ht="15" customHeight="1" x14ac:dyDescent="0.25">
      <c r="A19" s="6"/>
      <c r="B19" s="7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910" priority="25" operator="equal">
      <formula>"UNDERTIME"</formula>
    </cfRule>
  </conditionalFormatting>
  <conditionalFormatting sqref="F3:H18">
    <cfRule type="cellIs" dxfId="909" priority="1" operator="equal">
      <formula>"UNDERTIME"</formula>
    </cfRule>
  </conditionalFormatting>
  <conditionalFormatting sqref="F1:J2 F19:J1048576">
    <cfRule type="cellIs" dxfId="908" priority="16" operator="equal">
      <formula>"UNDERTIME"</formula>
    </cfRule>
  </conditionalFormatting>
  <conditionalFormatting sqref="J1:J2 J14:J1048576">
    <cfRule type="cellIs" dxfId="907" priority="17" operator="equal">
      <formula>"UNDERTIME"</formula>
    </cfRule>
  </conditionalFormatting>
  <conditionalFormatting sqref="J1:J14">
    <cfRule type="cellIs" dxfId="906" priority="7" operator="equal">
      <formula>"OB"</formula>
    </cfRule>
  </conditionalFormatting>
  <conditionalFormatting sqref="J1:J1048576">
    <cfRule type="cellIs" dxfId="905" priority="6" operator="equal">
      <formula>"HOLIDAY"</formula>
    </cfRule>
    <cfRule type="cellIs" dxfId="904" priority="8" operator="equal">
      <formula>"RESTDAY"</formula>
    </cfRule>
    <cfRule type="cellIs" dxfId="903" priority="9" operator="equal">
      <formula>"HALF DAY"</formula>
    </cfRule>
    <cfRule type="cellIs" dxfId="902" priority="10" operator="equal">
      <formula>"ABSENT"</formula>
    </cfRule>
    <cfRule type="cellIs" dxfId="901" priority="12" operator="equal">
      <formula>"ABSENT"</formula>
    </cfRule>
  </conditionalFormatting>
  <conditionalFormatting sqref="J3:J14">
    <cfRule type="cellIs" dxfId="900" priority="11" operator="equal">
      <formula>"UNDERTIME"</formula>
    </cfRule>
  </conditionalFormatting>
  <conditionalFormatting sqref="J3:J18">
    <cfRule type="cellIs" dxfId="899" priority="5" operator="equal">
      <formula>"UNDERTIME"</formula>
    </cfRule>
  </conditionalFormatting>
  <conditionalFormatting sqref="J5:J1048576">
    <cfRule type="cellIs" dxfId="898" priority="14" operator="equal">
      <formula>"OB"</formula>
    </cfRule>
  </conditionalFormatting>
  <conditionalFormatting sqref="J6">
    <cfRule type="cellIs" dxfId="897" priority="4" operator="equal">
      <formula>"OB"</formula>
    </cfRule>
  </conditionalFormatting>
  <conditionalFormatting sqref="J7">
    <cfRule type="cellIs" dxfId="896" priority="15" operator="equal">
      <formula>"OB"</formula>
    </cfRule>
  </conditionalFormatting>
  <conditionalFormatting sqref="J13">
    <cfRule type="cellIs" dxfId="895" priority="13" operator="equal">
      <formula>"OB"</formula>
    </cfRule>
  </conditionalFormatting>
  <conditionalFormatting sqref="J14">
    <cfRule type="cellIs" dxfId="894" priority="3" operator="equal">
      <formula>"OB"</formula>
    </cfRule>
    <cfRule type="cellIs" dxfId="893" priority="18" operator="equal">
      <formula>"OB"</formula>
    </cfRule>
  </conditionalFormatting>
  <conditionalFormatting sqref="J14:J1048576">
    <cfRule type="cellIs" dxfId="892" priority="19" operator="equal">
      <formula>"OB"</formula>
    </cfRule>
  </conditionalFormatting>
  <conditionalFormatting sqref="J17:J18">
    <cfRule type="cellIs" dxfId="891" priority="20" operator="equal">
      <formula>"OB"</formula>
    </cfRule>
  </conditionalFormatting>
  <conditionalFormatting sqref="K6:K8">
    <cfRule type="containsText" dxfId="890" priority="43" operator="containsText" text="SUNDAY">
      <formula>NOT(ISERROR(SEARCH("SUNDAY",K6)))</formula>
    </cfRule>
    <cfRule type="containsText" dxfId="889" priority="44" operator="containsText" text="HOLIDAY">
      <formula>NOT(ISERROR(SEARCH("HOLIDAY",K6)))</formula>
    </cfRule>
  </conditionalFormatting>
  <conditionalFormatting sqref="K9">
    <cfRule type="containsText" dxfId="888" priority="45" operator="containsText" text="SUNDAY">
      <formula>NOT(ISERROR(SEARCH("SUNDAY",K9)))</formula>
    </cfRule>
    <cfRule type="containsText" dxfId="887" priority="46" operator="containsText" text="HOLIDAY">
      <formula>NOT(ISERROR(SEARCH("HOLIDAY",K9)))</formula>
    </cfRule>
  </conditionalFormatting>
  <conditionalFormatting sqref="L5:L9">
    <cfRule type="containsText" dxfId="886" priority="41" operator="containsText" text="SUNDAY">
      <formula>NOT(ISERROR(SEARCH("SUNDAY",L5)))</formula>
    </cfRule>
    <cfRule type="containsText" dxfId="885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4769C-A822-40DD-976A-844E1AECEEA4}">
  <dimension ref="A1:L26"/>
  <sheetViews>
    <sheetView zoomScaleNormal="100" zoomScaleSheetLayoutView="93" workbookViewId="0">
      <selection activeCell="H12" sqref="H12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34</v>
      </c>
      <c r="B3" s="7" t="s">
        <v>35</v>
      </c>
      <c r="C3" s="2" t="s">
        <v>363</v>
      </c>
      <c r="D3" s="2" t="s">
        <v>364</v>
      </c>
      <c r="E3" s="33">
        <v>46064</v>
      </c>
      <c r="F3" s="27">
        <f>C3-E3</f>
        <v>0.32233796296350192</v>
      </c>
      <c r="G3" s="27"/>
      <c r="H3" s="27"/>
      <c r="I3" s="27">
        <f t="shared" ref="I3:I13" si="0">D3-E3</f>
        <v>0.70854166666686069</v>
      </c>
      <c r="J3" s="8"/>
    </row>
    <row r="4" spans="1:12" x14ac:dyDescent="0.25">
      <c r="A4" s="6" t="s">
        <v>34</v>
      </c>
      <c r="B4" s="7" t="s">
        <v>35</v>
      </c>
      <c r="C4" s="2" t="s">
        <v>365</v>
      </c>
      <c r="D4" s="2" t="s">
        <v>366</v>
      </c>
      <c r="E4" s="33">
        <v>46065</v>
      </c>
      <c r="F4" s="27">
        <f t="shared" ref="F4:F6" si="1">C4-E4</f>
        <v>0.32386574074189411</v>
      </c>
      <c r="G4" s="27"/>
      <c r="H4" s="27"/>
      <c r="I4" s="27">
        <f t="shared" si="0"/>
        <v>0.70922453703678912</v>
      </c>
      <c r="J4" s="8"/>
    </row>
    <row r="5" spans="1:12" x14ac:dyDescent="0.25">
      <c r="A5" s="6" t="s">
        <v>34</v>
      </c>
      <c r="B5" s="7" t="s">
        <v>35</v>
      </c>
      <c r="C5" s="2" t="s">
        <v>367</v>
      </c>
      <c r="D5" s="2" t="s">
        <v>368</v>
      </c>
      <c r="E5" s="33">
        <v>46066</v>
      </c>
      <c r="F5" s="27">
        <f t="shared" si="1"/>
        <v>0.32762731481489027</v>
      </c>
      <c r="G5" s="27"/>
      <c r="H5" s="27"/>
      <c r="I5" s="27">
        <f t="shared" si="0"/>
        <v>0.70873842592845904</v>
      </c>
      <c r="J5" s="8"/>
      <c r="K5" s="3" t="s">
        <v>6</v>
      </c>
      <c r="L5" s="4">
        <v>0</v>
      </c>
    </row>
    <row r="6" spans="1:12" x14ac:dyDescent="0.25">
      <c r="A6" s="6" t="s">
        <v>34</v>
      </c>
      <c r="B6" s="7" t="s">
        <v>35</v>
      </c>
      <c r="C6" s="2" t="s">
        <v>369</v>
      </c>
      <c r="D6" s="2" t="s">
        <v>370</v>
      </c>
      <c r="E6" s="33">
        <v>46067</v>
      </c>
      <c r="F6" s="27">
        <f t="shared" si="1"/>
        <v>0.32393518518802011</v>
      </c>
      <c r="G6" s="27"/>
      <c r="H6" s="27"/>
      <c r="I6" s="27">
        <v>0.71180555555555558</v>
      </c>
      <c r="J6" s="8"/>
      <c r="K6" s="3" t="s">
        <v>7</v>
      </c>
      <c r="L6" s="4">
        <v>0</v>
      </c>
    </row>
    <row r="7" spans="1:12" x14ac:dyDescent="0.25">
      <c r="A7" s="6" t="s">
        <v>34</v>
      </c>
      <c r="B7" s="7" t="s">
        <v>35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34</v>
      </c>
      <c r="B8" s="7" t="s">
        <v>35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34</v>
      </c>
      <c r="B9" s="7" t="s">
        <v>35</v>
      </c>
      <c r="C9" s="2" t="s">
        <v>371</v>
      </c>
      <c r="D9" s="2" t="s">
        <v>372</v>
      </c>
      <c r="E9" s="33">
        <v>46070</v>
      </c>
      <c r="F9" s="27">
        <f t="shared" ref="F9:F13" si="2">C9-E9</f>
        <v>0.32379629629576812</v>
      </c>
      <c r="G9" s="27"/>
      <c r="H9" s="27"/>
      <c r="I9" s="27">
        <f t="shared" si="0"/>
        <v>0.70857638888992369</v>
      </c>
      <c r="J9" s="8"/>
      <c r="K9" s="3" t="s">
        <v>10</v>
      </c>
      <c r="L9" s="4">
        <v>0</v>
      </c>
    </row>
    <row r="10" spans="1:12" x14ac:dyDescent="0.25">
      <c r="A10" s="6" t="s">
        <v>34</v>
      </c>
      <c r="B10" s="7" t="s">
        <v>35</v>
      </c>
      <c r="C10" s="2" t="s">
        <v>373</v>
      </c>
      <c r="D10" s="2" t="s">
        <v>374</v>
      </c>
      <c r="E10" s="33">
        <v>46071</v>
      </c>
      <c r="F10" s="27">
        <f t="shared" si="2"/>
        <v>0.32968750000145519</v>
      </c>
      <c r="G10" s="27"/>
      <c r="H10" s="27"/>
      <c r="I10" s="27">
        <f t="shared" si="0"/>
        <v>0.70903935185197042</v>
      </c>
      <c r="J10" s="8"/>
    </row>
    <row r="11" spans="1:12" x14ac:dyDescent="0.25">
      <c r="A11" s="6" t="s">
        <v>34</v>
      </c>
      <c r="B11" s="7" t="s">
        <v>35</v>
      </c>
      <c r="C11" s="2" t="s">
        <v>375</v>
      </c>
      <c r="D11" s="2" t="s">
        <v>376</v>
      </c>
      <c r="E11" s="33">
        <v>46072</v>
      </c>
      <c r="F11" s="27">
        <f t="shared" si="2"/>
        <v>0.32180555555532919</v>
      </c>
      <c r="G11" s="27"/>
      <c r="H11" s="27"/>
      <c r="I11" s="27">
        <f t="shared" si="0"/>
        <v>0.71035879629926058</v>
      </c>
      <c r="J11" s="8"/>
    </row>
    <row r="12" spans="1:12" x14ac:dyDescent="0.25">
      <c r="A12" s="6" t="s">
        <v>34</v>
      </c>
      <c r="B12" s="7" t="s">
        <v>35</v>
      </c>
      <c r="C12" s="2" t="s">
        <v>377</v>
      </c>
      <c r="D12" s="2" t="s">
        <v>378</v>
      </c>
      <c r="E12" s="33">
        <v>46073</v>
      </c>
      <c r="F12" s="27">
        <f t="shared" si="2"/>
        <v>0.33277777778130258</v>
      </c>
      <c r="G12" s="27"/>
      <c r="H12" s="27"/>
      <c r="I12" s="27">
        <f t="shared" si="0"/>
        <v>0.7096643518525525</v>
      </c>
      <c r="J12" s="8"/>
    </row>
    <row r="13" spans="1:12" x14ac:dyDescent="0.25">
      <c r="A13" s="6" t="s">
        <v>34</v>
      </c>
      <c r="B13" s="7" t="s">
        <v>35</v>
      </c>
      <c r="C13" s="2" t="s">
        <v>379</v>
      </c>
      <c r="D13" s="2" t="s">
        <v>380</v>
      </c>
      <c r="E13" s="33">
        <v>46074</v>
      </c>
      <c r="F13" s="27">
        <f t="shared" si="2"/>
        <v>0.32645833333663177</v>
      </c>
      <c r="G13" s="27"/>
      <c r="H13" s="27"/>
      <c r="I13" s="27">
        <f t="shared" si="0"/>
        <v>0.70997685185284354</v>
      </c>
      <c r="J13" s="8"/>
    </row>
    <row r="14" spans="1:12" x14ac:dyDescent="0.25">
      <c r="A14" s="6" t="s">
        <v>34</v>
      </c>
      <c r="B14" s="7" t="s">
        <v>35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34</v>
      </c>
      <c r="B15" s="7" t="s">
        <v>35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34</v>
      </c>
      <c r="B16" s="7" t="s">
        <v>35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34</v>
      </c>
      <c r="B17" s="7" t="s">
        <v>35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34</v>
      </c>
      <c r="B18" s="7" t="s">
        <v>35</v>
      </c>
      <c r="C18" s="28"/>
      <c r="D18" s="28"/>
      <c r="E18" s="33"/>
      <c r="F18" s="27"/>
      <c r="G18" s="29"/>
      <c r="H18" s="29"/>
      <c r="I18" s="27"/>
      <c r="J18" s="8"/>
    </row>
    <row r="19" spans="1:10" ht="15" customHeight="1" x14ac:dyDescent="0.25">
      <c r="A19" s="6"/>
      <c r="B19" s="7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884" priority="25" operator="equal">
      <formula>"UNDERTIME"</formula>
    </cfRule>
  </conditionalFormatting>
  <conditionalFormatting sqref="F3:H18">
    <cfRule type="cellIs" dxfId="883" priority="1" operator="equal">
      <formula>"UNDERTIME"</formula>
    </cfRule>
  </conditionalFormatting>
  <conditionalFormatting sqref="F1:J2 F19:J1048576">
    <cfRule type="cellIs" dxfId="882" priority="16" operator="equal">
      <formula>"UNDERTIME"</formula>
    </cfRule>
  </conditionalFormatting>
  <conditionalFormatting sqref="J1:J2 J14:J1048576">
    <cfRule type="cellIs" dxfId="881" priority="17" operator="equal">
      <formula>"UNDERTIME"</formula>
    </cfRule>
  </conditionalFormatting>
  <conditionalFormatting sqref="J1:J14">
    <cfRule type="cellIs" dxfId="880" priority="7" operator="equal">
      <formula>"OB"</formula>
    </cfRule>
  </conditionalFormatting>
  <conditionalFormatting sqref="J1:J1048576">
    <cfRule type="cellIs" dxfId="879" priority="6" operator="equal">
      <formula>"HOLIDAY"</formula>
    </cfRule>
    <cfRule type="cellIs" dxfId="878" priority="8" operator="equal">
      <formula>"RESTDAY"</formula>
    </cfRule>
    <cfRule type="cellIs" dxfId="877" priority="9" operator="equal">
      <formula>"HALF DAY"</formula>
    </cfRule>
    <cfRule type="cellIs" dxfId="876" priority="10" operator="equal">
      <formula>"ABSENT"</formula>
    </cfRule>
    <cfRule type="cellIs" dxfId="875" priority="12" operator="equal">
      <formula>"ABSENT"</formula>
    </cfRule>
  </conditionalFormatting>
  <conditionalFormatting sqref="J3:J14">
    <cfRule type="cellIs" dxfId="874" priority="11" operator="equal">
      <formula>"UNDERTIME"</formula>
    </cfRule>
  </conditionalFormatting>
  <conditionalFormatting sqref="J3:J18">
    <cfRule type="cellIs" dxfId="873" priority="5" operator="equal">
      <formula>"UNDERTIME"</formula>
    </cfRule>
  </conditionalFormatting>
  <conditionalFormatting sqref="J5:J1048576">
    <cfRule type="cellIs" dxfId="872" priority="14" operator="equal">
      <formula>"OB"</formula>
    </cfRule>
  </conditionalFormatting>
  <conditionalFormatting sqref="J6">
    <cfRule type="cellIs" dxfId="871" priority="4" operator="equal">
      <formula>"OB"</formula>
    </cfRule>
  </conditionalFormatting>
  <conditionalFormatting sqref="J7">
    <cfRule type="cellIs" dxfId="870" priority="15" operator="equal">
      <formula>"OB"</formula>
    </cfRule>
  </conditionalFormatting>
  <conditionalFormatting sqref="J13">
    <cfRule type="cellIs" dxfId="869" priority="13" operator="equal">
      <formula>"OB"</formula>
    </cfRule>
  </conditionalFormatting>
  <conditionalFormatting sqref="J14">
    <cfRule type="cellIs" dxfId="868" priority="3" operator="equal">
      <formula>"OB"</formula>
    </cfRule>
    <cfRule type="cellIs" dxfId="867" priority="18" operator="equal">
      <formula>"OB"</formula>
    </cfRule>
  </conditionalFormatting>
  <conditionalFormatting sqref="J14:J1048576">
    <cfRule type="cellIs" dxfId="866" priority="19" operator="equal">
      <formula>"OB"</formula>
    </cfRule>
  </conditionalFormatting>
  <conditionalFormatting sqref="J17:J18">
    <cfRule type="cellIs" dxfId="865" priority="20" operator="equal">
      <formula>"OB"</formula>
    </cfRule>
  </conditionalFormatting>
  <conditionalFormatting sqref="K6:K8">
    <cfRule type="containsText" dxfId="864" priority="43" operator="containsText" text="SUNDAY">
      <formula>NOT(ISERROR(SEARCH("SUNDAY",K6)))</formula>
    </cfRule>
    <cfRule type="containsText" dxfId="863" priority="44" operator="containsText" text="HOLIDAY">
      <formula>NOT(ISERROR(SEARCH("HOLIDAY",K6)))</formula>
    </cfRule>
  </conditionalFormatting>
  <conditionalFormatting sqref="K9">
    <cfRule type="containsText" dxfId="862" priority="45" operator="containsText" text="SUNDAY">
      <formula>NOT(ISERROR(SEARCH("SUNDAY",K9)))</formula>
    </cfRule>
    <cfRule type="containsText" dxfId="861" priority="46" operator="containsText" text="HOLIDAY">
      <formula>NOT(ISERROR(SEARCH("HOLIDAY",K9)))</formula>
    </cfRule>
  </conditionalFormatting>
  <conditionalFormatting sqref="L5:L9">
    <cfRule type="containsText" dxfId="860" priority="41" operator="containsText" text="SUNDAY">
      <formula>NOT(ISERROR(SEARCH("SUNDAY",L5)))</formula>
    </cfRule>
    <cfRule type="containsText" dxfId="859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D827-7999-41A2-9FDB-03AA24E35260}">
  <dimension ref="A1:L26"/>
  <sheetViews>
    <sheetView zoomScaleNormal="100" zoomScaleSheetLayoutView="93" workbookViewId="0">
      <selection activeCell="L6" sqref="L6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36</v>
      </c>
      <c r="B3" s="7" t="s">
        <v>37</v>
      </c>
      <c r="C3" s="2" t="s">
        <v>381</v>
      </c>
      <c r="D3" s="2" t="s">
        <v>382</v>
      </c>
      <c r="E3" s="33">
        <v>46064</v>
      </c>
      <c r="F3" s="27">
        <f>C3-E3</f>
        <v>0.31015046295942739</v>
      </c>
      <c r="G3" s="27"/>
      <c r="H3" s="27"/>
      <c r="I3" s="27">
        <f t="shared" ref="I3:I13" si="0">D3-E3</f>
        <v>0.70946759259095415</v>
      </c>
      <c r="J3" s="8"/>
    </row>
    <row r="4" spans="1:12" x14ac:dyDescent="0.25">
      <c r="A4" s="6" t="s">
        <v>36</v>
      </c>
      <c r="B4" s="7" t="s">
        <v>37</v>
      </c>
      <c r="C4" s="2" t="s">
        <v>383</v>
      </c>
      <c r="D4" s="2" t="s">
        <v>384</v>
      </c>
      <c r="E4" s="33">
        <v>46065</v>
      </c>
      <c r="F4" s="27">
        <f t="shared" ref="F4:F6" si="1">C4-E4</f>
        <v>0.29954861111036735</v>
      </c>
      <c r="G4" s="27"/>
      <c r="H4" s="27"/>
      <c r="I4" s="27">
        <f t="shared" si="0"/>
        <v>0.71131944444641704</v>
      </c>
      <c r="J4" s="8"/>
    </row>
    <row r="5" spans="1:12" x14ac:dyDescent="0.25">
      <c r="A5" s="6" t="s">
        <v>36</v>
      </c>
      <c r="B5" s="7" t="s">
        <v>37</v>
      </c>
      <c r="C5" s="2" t="s">
        <v>385</v>
      </c>
      <c r="D5" s="2" t="s">
        <v>386</v>
      </c>
      <c r="E5" s="33">
        <v>46066</v>
      </c>
      <c r="F5" s="27">
        <f t="shared" si="1"/>
        <v>0.31038194444408873</v>
      </c>
      <c r="G5" s="27"/>
      <c r="H5" s="27"/>
      <c r="I5" s="27">
        <f t="shared" si="0"/>
        <v>0.70989583332993789</v>
      </c>
      <c r="J5" s="8"/>
      <c r="K5" s="3" t="s">
        <v>6</v>
      </c>
      <c r="L5" s="4">
        <v>0</v>
      </c>
    </row>
    <row r="6" spans="1:12" x14ac:dyDescent="0.25">
      <c r="A6" s="6" t="s">
        <v>36</v>
      </c>
      <c r="B6" s="7" t="s">
        <v>37</v>
      </c>
      <c r="C6" s="2" t="s">
        <v>387</v>
      </c>
      <c r="D6" s="2" t="s">
        <v>388</v>
      </c>
      <c r="E6" s="33">
        <v>46067</v>
      </c>
      <c r="F6" s="27">
        <f t="shared" si="1"/>
        <v>0.28305555555562023</v>
      </c>
      <c r="G6" s="27"/>
      <c r="H6" s="27"/>
      <c r="I6" s="27">
        <f t="shared" si="0"/>
        <v>0.71015046296088258</v>
      </c>
      <c r="J6" s="8"/>
      <c r="K6" s="3" t="s">
        <v>7</v>
      </c>
      <c r="L6" s="4">
        <v>1</v>
      </c>
    </row>
    <row r="7" spans="1:12" x14ac:dyDescent="0.25">
      <c r="A7" s="6" t="s">
        <v>36</v>
      </c>
      <c r="B7" s="7" t="s">
        <v>37</v>
      </c>
      <c r="C7" s="2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36</v>
      </c>
      <c r="B8" s="7" t="s">
        <v>37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36</v>
      </c>
      <c r="B9" s="7" t="s">
        <v>37</v>
      </c>
      <c r="C9" s="2" t="s">
        <v>389</v>
      </c>
      <c r="D9" s="2" t="s">
        <v>390</v>
      </c>
      <c r="E9" s="33">
        <v>46070</v>
      </c>
      <c r="F9" s="27">
        <f t="shared" ref="F9:F13" si="2">C9-E9</f>
        <v>0.29721064814657439</v>
      </c>
      <c r="G9" s="27"/>
      <c r="H9" s="27"/>
      <c r="I9" s="27">
        <f t="shared" si="0"/>
        <v>0.70936342592904111</v>
      </c>
      <c r="J9" s="8"/>
      <c r="K9" s="3" t="s">
        <v>10</v>
      </c>
      <c r="L9" s="4">
        <v>0</v>
      </c>
    </row>
    <row r="10" spans="1:12" x14ac:dyDescent="0.25">
      <c r="A10" s="6" t="s">
        <v>36</v>
      </c>
      <c r="B10" s="7" t="s">
        <v>37</v>
      </c>
      <c r="C10" s="2" t="s">
        <v>391</v>
      </c>
      <c r="D10" s="2" t="s">
        <v>392</v>
      </c>
      <c r="E10" s="33">
        <v>46071</v>
      </c>
      <c r="F10" s="27">
        <f t="shared" si="2"/>
        <v>0.28817129629896954</v>
      </c>
      <c r="G10" s="27"/>
      <c r="H10" s="27"/>
      <c r="I10" s="27">
        <f t="shared" si="0"/>
        <v>0.70945601852145046</v>
      </c>
      <c r="J10" s="8"/>
    </row>
    <row r="11" spans="1:12" x14ac:dyDescent="0.25">
      <c r="A11" s="6" t="s">
        <v>36</v>
      </c>
      <c r="B11" s="7" t="s">
        <v>37</v>
      </c>
      <c r="C11" s="2" t="s">
        <v>393</v>
      </c>
      <c r="D11" s="2" t="s">
        <v>394</v>
      </c>
      <c r="E11" s="33">
        <v>46072</v>
      </c>
      <c r="F11" s="27">
        <f t="shared" si="2"/>
        <v>0.30290509259066312</v>
      </c>
      <c r="G11" s="27"/>
      <c r="H11" s="27"/>
      <c r="I11" s="27">
        <f t="shared" si="0"/>
        <v>0.70928240740613546</v>
      </c>
      <c r="J11" s="8"/>
    </row>
    <row r="12" spans="1:12" x14ac:dyDescent="0.25">
      <c r="A12" s="6" t="s">
        <v>36</v>
      </c>
      <c r="B12" s="7" t="s">
        <v>37</v>
      </c>
      <c r="C12" s="2" t="s">
        <v>395</v>
      </c>
      <c r="D12" s="2" t="s">
        <v>396</v>
      </c>
      <c r="E12" s="33">
        <v>46073</v>
      </c>
      <c r="F12" s="27">
        <f t="shared" si="2"/>
        <v>0.29151620370248565</v>
      </c>
      <c r="G12" s="27"/>
      <c r="H12" s="27"/>
      <c r="I12" s="27">
        <f t="shared" si="0"/>
        <v>0.70984953703737119</v>
      </c>
      <c r="J12" s="8"/>
    </row>
    <row r="13" spans="1:12" x14ac:dyDescent="0.25">
      <c r="A13" s="6" t="s">
        <v>36</v>
      </c>
      <c r="B13" s="7" t="s">
        <v>37</v>
      </c>
      <c r="C13" s="2" t="s">
        <v>397</v>
      </c>
      <c r="D13" s="2" t="s">
        <v>398</v>
      </c>
      <c r="E13" s="33">
        <v>46074</v>
      </c>
      <c r="F13" s="27">
        <f t="shared" si="2"/>
        <v>0.29906250000203727</v>
      </c>
      <c r="G13" s="27"/>
      <c r="H13" s="27"/>
      <c r="I13" s="27">
        <f t="shared" si="0"/>
        <v>0.71199074073956581</v>
      </c>
      <c r="J13" s="8"/>
    </row>
    <row r="14" spans="1:12" x14ac:dyDescent="0.25">
      <c r="A14" s="6" t="s">
        <v>36</v>
      </c>
      <c r="B14" s="7" t="s">
        <v>37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36</v>
      </c>
      <c r="B15" s="7" t="s">
        <v>37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36</v>
      </c>
      <c r="B16" s="7" t="s">
        <v>37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36</v>
      </c>
      <c r="B17" s="7" t="s">
        <v>37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36</v>
      </c>
      <c r="B18" s="7" t="s">
        <v>37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A19" s="5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858" priority="25" operator="equal">
      <formula>"UNDERTIME"</formula>
    </cfRule>
  </conditionalFormatting>
  <conditionalFormatting sqref="F3:H18">
    <cfRule type="cellIs" dxfId="857" priority="1" operator="equal">
      <formula>"UNDERTIME"</formula>
    </cfRule>
  </conditionalFormatting>
  <conditionalFormatting sqref="F1:J2 F19:J1048576">
    <cfRule type="cellIs" dxfId="856" priority="16" operator="equal">
      <formula>"UNDERTIME"</formula>
    </cfRule>
  </conditionalFormatting>
  <conditionalFormatting sqref="J1:J2 J14:J1048576">
    <cfRule type="cellIs" dxfId="855" priority="17" operator="equal">
      <formula>"UNDERTIME"</formula>
    </cfRule>
  </conditionalFormatting>
  <conditionalFormatting sqref="J1:J14">
    <cfRule type="cellIs" dxfId="854" priority="7" operator="equal">
      <formula>"OB"</formula>
    </cfRule>
  </conditionalFormatting>
  <conditionalFormatting sqref="J1:J1048576">
    <cfRule type="cellIs" dxfId="853" priority="6" operator="equal">
      <formula>"HOLIDAY"</formula>
    </cfRule>
    <cfRule type="cellIs" dxfId="852" priority="8" operator="equal">
      <formula>"RESTDAY"</formula>
    </cfRule>
    <cfRule type="cellIs" dxfId="851" priority="9" operator="equal">
      <formula>"HALF DAY"</formula>
    </cfRule>
    <cfRule type="cellIs" dxfId="850" priority="10" operator="equal">
      <formula>"ABSENT"</formula>
    </cfRule>
    <cfRule type="cellIs" dxfId="849" priority="12" operator="equal">
      <formula>"ABSENT"</formula>
    </cfRule>
  </conditionalFormatting>
  <conditionalFormatting sqref="J3:J14">
    <cfRule type="cellIs" dxfId="848" priority="11" operator="equal">
      <formula>"UNDERTIME"</formula>
    </cfRule>
  </conditionalFormatting>
  <conditionalFormatting sqref="J3:J18">
    <cfRule type="cellIs" dxfId="847" priority="5" operator="equal">
      <formula>"UNDERTIME"</formula>
    </cfRule>
  </conditionalFormatting>
  <conditionalFormatting sqref="J5:J1048576">
    <cfRule type="cellIs" dxfId="846" priority="14" operator="equal">
      <formula>"OB"</formula>
    </cfRule>
  </conditionalFormatting>
  <conditionalFormatting sqref="J6">
    <cfRule type="cellIs" dxfId="845" priority="4" operator="equal">
      <formula>"OB"</formula>
    </cfRule>
  </conditionalFormatting>
  <conditionalFormatting sqref="J7">
    <cfRule type="cellIs" dxfId="844" priority="15" operator="equal">
      <formula>"OB"</formula>
    </cfRule>
  </conditionalFormatting>
  <conditionalFormatting sqref="J13">
    <cfRule type="cellIs" dxfId="843" priority="13" operator="equal">
      <formula>"OB"</formula>
    </cfRule>
  </conditionalFormatting>
  <conditionalFormatting sqref="J14">
    <cfRule type="cellIs" dxfId="842" priority="3" operator="equal">
      <formula>"OB"</formula>
    </cfRule>
    <cfRule type="cellIs" dxfId="841" priority="18" operator="equal">
      <formula>"OB"</formula>
    </cfRule>
  </conditionalFormatting>
  <conditionalFormatting sqref="J14:J1048576">
    <cfRule type="cellIs" dxfId="840" priority="19" operator="equal">
      <formula>"OB"</formula>
    </cfRule>
  </conditionalFormatting>
  <conditionalFormatting sqref="J17:J18">
    <cfRule type="cellIs" dxfId="839" priority="20" operator="equal">
      <formula>"OB"</formula>
    </cfRule>
  </conditionalFormatting>
  <conditionalFormatting sqref="K6:K8">
    <cfRule type="containsText" dxfId="838" priority="43" operator="containsText" text="SUNDAY">
      <formula>NOT(ISERROR(SEARCH("SUNDAY",K6)))</formula>
    </cfRule>
    <cfRule type="containsText" dxfId="837" priority="44" operator="containsText" text="HOLIDAY">
      <formula>NOT(ISERROR(SEARCH("HOLIDAY",K6)))</formula>
    </cfRule>
  </conditionalFormatting>
  <conditionalFormatting sqref="K9">
    <cfRule type="containsText" dxfId="836" priority="45" operator="containsText" text="SUNDAY">
      <formula>NOT(ISERROR(SEARCH("SUNDAY",K9)))</formula>
    </cfRule>
    <cfRule type="containsText" dxfId="835" priority="46" operator="containsText" text="HOLIDAY">
      <formula>NOT(ISERROR(SEARCH("HOLIDAY",K9)))</formula>
    </cfRule>
  </conditionalFormatting>
  <conditionalFormatting sqref="L5:L9">
    <cfRule type="containsText" dxfId="834" priority="41" operator="containsText" text="SUNDAY">
      <formula>NOT(ISERROR(SEARCH("SUNDAY",L5)))</formula>
    </cfRule>
    <cfRule type="containsText" dxfId="833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1F96-EDD8-4599-9516-084687460ABC}">
  <dimension ref="A1:L26"/>
  <sheetViews>
    <sheetView zoomScaleNormal="100" workbookViewId="0">
      <selection activeCell="F30" sqref="F30"/>
    </sheetView>
  </sheetViews>
  <sheetFormatPr defaultColWidth="8.85546875" defaultRowHeight="15" x14ac:dyDescent="0.25"/>
  <cols>
    <col min="1" max="1" width="13.28515625" style="1" bestFit="1" customWidth="1"/>
    <col min="2" max="2" width="20.85546875" style="1" bestFit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109</v>
      </c>
      <c r="B3" s="7" t="s">
        <v>110</v>
      </c>
      <c r="C3" s="2" t="s">
        <v>399</v>
      </c>
      <c r="D3" s="2" t="s">
        <v>400</v>
      </c>
      <c r="E3" s="33">
        <v>46064</v>
      </c>
      <c r="F3" s="48">
        <f>C3-E3</f>
        <v>0.33511574073781958</v>
      </c>
      <c r="G3" s="27"/>
      <c r="H3" s="27"/>
      <c r="I3" s="27">
        <f t="shared" ref="I3:I13" si="0">D3-E3</f>
        <v>0.70903935185197042</v>
      </c>
      <c r="J3" s="8"/>
    </row>
    <row r="4" spans="1:12" x14ac:dyDescent="0.25">
      <c r="A4" s="6" t="s">
        <v>109</v>
      </c>
      <c r="B4" s="7" t="s">
        <v>110</v>
      </c>
      <c r="C4" s="2" t="s">
        <v>401</v>
      </c>
      <c r="D4" s="2" t="s">
        <v>402</v>
      </c>
      <c r="E4" s="33">
        <v>46065</v>
      </c>
      <c r="F4" s="27">
        <f t="shared" ref="F4:F6" si="1">C4-E4</f>
        <v>0.32841435185400769</v>
      </c>
      <c r="G4" s="27"/>
      <c r="H4" s="27"/>
      <c r="I4" s="27">
        <f t="shared" si="0"/>
        <v>0.70940972222160781</v>
      </c>
      <c r="J4" s="8"/>
    </row>
    <row r="5" spans="1:12" x14ac:dyDescent="0.25">
      <c r="A5" s="6" t="s">
        <v>109</v>
      </c>
      <c r="B5" s="7" t="s">
        <v>110</v>
      </c>
      <c r="C5" s="2" t="s">
        <v>403</v>
      </c>
      <c r="D5" s="2" t="s">
        <v>404</v>
      </c>
      <c r="E5" s="33">
        <v>46066</v>
      </c>
      <c r="F5" s="27">
        <f t="shared" si="1"/>
        <v>0.33062500000232831</v>
      </c>
      <c r="G5" s="27"/>
      <c r="H5" s="27"/>
      <c r="I5" s="27">
        <f t="shared" si="0"/>
        <v>0.70861111111298669</v>
      </c>
      <c r="J5" s="8"/>
      <c r="K5" s="3" t="s">
        <v>6</v>
      </c>
      <c r="L5" s="4">
        <v>0</v>
      </c>
    </row>
    <row r="6" spans="1:12" x14ac:dyDescent="0.25">
      <c r="A6" s="6" t="s">
        <v>109</v>
      </c>
      <c r="B6" s="7" t="s">
        <v>110</v>
      </c>
      <c r="C6" s="2" t="s">
        <v>405</v>
      </c>
      <c r="D6" s="2" t="s">
        <v>406</v>
      </c>
      <c r="E6" s="33">
        <v>46067</v>
      </c>
      <c r="F6" s="27">
        <f t="shared" si="1"/>
        <v>0.32714120370656019</v>
      </c>
      <c r="G6" s="27"/>
      <c r="H6" s="27"/>
      <c r="I6" s="27">
        <f t="shared" si="0"/>
        <v>0.70947916666773381</v>
      </c>
      <c r="J6" s="8"/>
      <c r="K6" s="3" t="s">
        <v>7</v>
      </c>
      <c r="L6" s="4">
        <v>1</v>
      </c>
    </row>
    <row r="7" spans="1:12" x14ac:dyDescent="0.25">
      <c r="A7" s="6" t="s">
        <v>109</v>
      </c>
      <c r="B7" s="7" t="s">
        <v>110</v>
      </c>
      <c r="C7" s="2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2</v>
      </c>
    </row>
    <row r="8" spans="1:12" x14ac:dyDescent="0.25">
      <c r="A8" s="6" t="s">
        <v>109</v>
      </c>
      <c r="B8" s="7" t="s">
        <v>110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109</v>
      </c>
      <c r="B9" s="7" t="s">
        <v>110</v>
      </c>
      <c r="C9" s="2" t="s">
        <v>407</v>
      </c>
      <c r="D9" s="2" t="s">
        <v>408</v>
      </c>
      <c r="E9" s="33">
        <v>46070</v>
      </c>
      <c r="F9" s="27">
        <f t="shared" ref="F9:F13" si="2">C9-E9</f>
        <v>0.32723379629896954</v>
      </c>
      <c r="G9" s="27"/>
      <c r="H9" s="27"/>
      <c r="I9" s="27">
        <f t="shared" si="0"/>
        <v>0.71854166666889796</v>
      </c>
      <c r="J9" s="8"/>
      <c r="K9" s="3" t="s">
        <v>10</v>
      </c>
      <c r="L9" s="4">
        <v>0</v>
      </c>
    </row>
    <row r="10" spans="1:12" x14ac:dyDescent="0.25">
      <c r="A10" s="6" t="s">
        <v>109</v>
      </c>
      <c r="B10" s="7" t="s">
        <v>110</v>
      </c>
      <c r="C10" s="2" t="s">
        <v>409</v>
      </c>
      <c r="D10" s="2" t="s">
        <v>410</v>
      </c>
      <c r="E10" s="33">
        <v>46071</v>
      </c>
      <c r="F10" s="27">
        <f t="shared" si="2"/>
        <v>0.33010416666365927</v>
      </c>
      <c r="G10" s="27"/>
      <c r="H10" s="27"/>
      <c r="I10" s="27">
        <f t="shared" si="0"/>
        <v>0.70872685185167938</v>
      </c>
      <c r="J10" s="8"/>
    </row>
    <row r="11" spans="1:12" x14ac:dyDescent="0.25">
      <c r="A11" s="6" t="s">
        <v>109</v>
      </c>
      <c r="B11" s="7" t="s">
        <v>110</v>
      </c>
      <c r="C11" s="2" t="s">
        <v>411</v>
      </c>
      <c r="D11" s="2" t="s">
        <v>412</v>
      </c>
      <c r="E11" s="33">
        <v>46072</v>
      </c>
      <c r="F11" s="27">
        <f t="shared" si="2"/>
        <v>0.32978009259386454</v>
      </c>
      <c r="G11" s="27"/>
      <c r="H11" s="27"/>
      <c r="I11" s="27">
        <f t="shared" si="0"/>
        <v>0.70898148148262408</v>
      </c>
      <c r="J11" s="8"/>
    </row>
    <row r="12" spans="1:12" x14ac:dyDescent="0.25">
      <c r="A12" s="6" t="s">
        <v>109</v>
      </c>
      <c r="B12" s="7" t="s">
        <v>110</v>
      </c>
      <c r="C12" s="2" t="s">
        <v>413</v>
      </c>
      <c r="D12" s="2" t="s">
        <v>414</v>
      </c>
      <c r="E12" s="33">
        <v>46073</v>
      </c>
      <c r="F12" s="27">
        <f t="shared" si="2"/>
        <v>0.32633101852115942</v>
      </c>
      <c r="G12" s="27"/>
      <c r="H12" s="27"/>
      <c r="I12" s="27">
        <f t="shared" si="0"/>
        <v>0.70847222222073469</v>
      </c>
      <c r="J12" s="8"/>
    </row>
    <row r="13" spans="1:12" x14ac:dyDescent="0.25">
      <c r="A13" s="6" t="s">
        <v>109</v>
      </c>
      <c r="B13" s="7" t="s">
        <v>110</v>
      </c>
      <c r="C13" s="2" t="s">
        <v>415</v>
      </c>
      <c r="D13" s="2" t="s">
        <v>416</v>
      </c>
      <c r="E13" s="33">
        <v>46074</v>
      </c>
      <c r="F13" s="27">
        <f t="shared" si="2"/>
        <v>0.33148148148029577</v>
      </c>
      <c r="G13" s="27"/>
      <c r="H13" s="27"/>
      <c r="I13" s="27">
        <f t="shared" si="0"/>
        <v>0.71468750000349246</v>
      </c>
      <c r="J13" s="8"/>
    </row>
    <row r="14" spans="1:12" x14ac:dyDescent="0.25">
      <c r="A14" s="6" t="s">
        <v>109</v>
      </c>
      <c r="B14" s="7" t="s">
        <v>110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109</v>
      </c>
      <c r="B15" s="7" t="s">
        <v>110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109</v>
      </c>
      <c r="B16" s="7" t="s">
        <v>110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109</v>
      </c>
      <c r="B17" s="7" t="s">
        <v>110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109</v>
      </c>
      <c r="B18" s="7" t="s">
        <v>110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832" priority="25" operator="equal">
      <formula>"UNDERTIME"</formula>
    </cfRule>
  </conditionalFormatting>
  <conditionalFormatting sqref="F3:H18">
    <cfRule type="cellIs" dxfId="831" priority="1" operator="equal">
      <formula>"UNDERTIME"</formula>
    </cfRule>
  </conditionalFormatting>
  <conditionalFormatting sqref="F1:J2 F19:J1048576">
    <cfRule type="cellIs" dxfId="830" priority="16" operator="equal">
      <formula>"UNDERTIME"</formula>
    </cfRule>
  </conditionalFormatting>
  <conditionalFormatting sqref="J1:J2 J14:J1048576">
    <cfRule type="cellIs" dxfId="829" priority="17" operator="equal">
      <formula>"UNDERTIME"</formula>
    </cfRule>
  </conditionalFormatting>
  <conditionalFormatting sqref="J1:J14">
    <cfRule type="cellIs" dxfId="828" priority="7" operator="equal">
      <formula>"OB"</formula>
    </cfRule>
  </conditionalFormatting>
  <conditionalFormatting sqref="J1:J1048576">
    <cfRule type="cellIs" dxfId="827" priority="6" operator="equal">
      <formula>"HOLIDAY"</formula>
    </cfRule>
    <cfRule type="cellIs" dxfId="826" priority="8" operator="equal">
      <formula>"RESTDAY"</formula>
    </cfRule>
    <cfRule type="cellIs" dxfId="825" priority="9" operator="equal">
      <formula>"HALF DAY"</formula>
    </cfRule>
    <cfRule type="cellIs" dxfId="824" priority="10" operator="equal">
      <formula>"ABSENT"</formula>
    </cfRule>
    <cfRule type="cellIs" dxfId="823" priority="12" operator="equal">
      <formula>"ABSENT"</formula>
    </cfRule>
  </conditionalFormatting>
  <conditionalFormatting sqref="J3:J14">
    <cfRule type="cellIs" dxfId="822" priority="11" operator="equal">
      <formula>"UNDERTIME"</formula>
    </cfRule>
  </conditionalFormatting>
  <conditionalFormatting sqref="J3:J18">
    <cfRule type="cellIs" dxfId="821" priority="5" operator="equal">
      <formula>"UNDERTIME"</formula>
    </cfRule>
  </conditionalFormatting>
  <conditionalFormatting sqref="J5:J1048576">
    <cfRule type="cellIs" dxfId="820" priority="14" operator="equal">
      <formula>"OB"</formula>
    </cfRule>
  </conditionalFormatting>
  <conditionalFormatting sqref="J6">
    <cfRule type="cellIs" dxfId="819" priority="4" operator="equal">
      <formula>"OB"</formula>
    </cfRule>
  </conditionalFormatting>
  <conditionalFormatting sqref="J7">
    <cfRule type="cellIs" dxfId="818" priority="15" operator="equal">
      <formula>"OB"</formula>
    </cfRule>
  </conditionalFormatting>
  <conditionalFormatting sqref="J13">
    <cfRule type="cellIs" dxfId="817" priority="13" operator="equal">
      <formula>"OB"</formula>
    </cfRule>
  </conditionalFormatting>
  <conditionalFormatting sqref="J14">
    <cfRule type="cellIs" dxfId="816" priority="3" operator="equal">
      <formula>"OB"</formula>
    </cfRule>
    <cfRule type="cellIs" dxfId="815" priority="18" operator="equal">
      <formula>"OB"</formula>
    </cfRule>
  </conditionalFormatting>
  <conditionalFormatting sqref="J14:J1048576">
    <cfRule type="cellIs" dxfId="814" priority="19" operator="equal">
      <formula>"OB"</formula>
    </cfRule>
  </conditionalFormatting>
  <conditionalFormatting sqref="J17:J18">
    <cfRule type="cellIs" dxfId="813" priority="20" operator="equal">
      <formula>"OB"</formula>
    </cfRule>
  </conditionalFormatting>
  <conditionalFormatting sqref="K6:K8">
    <cfRule type="containsText" dxfId="812" priority="43" operator="containsText" text="SUNDAY">
      <formula>NOT(ISERROR(SEARCH("SUNDAY",K6)))</formula>
    </cfRule>
    <cfRule type="containsText" dxfId="811" priority="44" operator="containsText" text="HOLIDAY">
      <formula>NOT(ISERROR(SEARCH("HOLIDAY",K6)))</formula>
    </cfRule>
  </conditionalFormatting>
  <conditionalFormatting sqref="K9">
    <cfRule type="containsText" dxfId="810" priority="45" operator="containsText" text="SUNDAY">
      <formula>NOT(ISERROR(SEARCH("SUNDAY",K9)))</formula>
    </cfRule>
    <cfRule type="containsText" dxfId="809" priority="46" operator="containsText" text="HOLIDAY">
      <formula>NOT(ISERROR(SEARCH("HOLIDAY",K9)))</formula>
    </cfRule>
  </conditionalFormatting>
  <conditionalFormatting sqref="L5:L9">
    <cfRule type="containsText" dxfId="808" priority="41" operator="containsText" text="SUNDAY">
      <formula>NOT(ISERROR(SEARCH("SUNDAY",L5)))</formula>
    </cfRule>
    <cfRule type="containsText" dxfId="807" priority="42" operator="containsText" text="HOLIDAY">
      <formula>NOT(ISERROR(SEARCH("HOLIDAY",L5)))</formula>
    </cfRule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B899-B158-4659-BF29-83C0C9394DAF}">
  <dimension ref="A1:L26"/>
  <sheetViews>
    <sheetView zoomScaleNormal="100" zoomScaleSheetLayoutView="93" workbookViewId="0">
      <selection activeCell="L7" sqref="L7"/>
    </sheetView>
  </sheetViews>
  <sheetFormatPr defaultColWidth="8.85546875" defaultRowHeight="15" x14ac:dyDescent="0.25"/>
  <cols>
    <col min="1" max="1" width="13.28515625" style="1" bestFit="1" customWidth="1"/>
    <col min="2" max="2" width="14.85546875" style="1" bestFit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91</v>
      </c>
      <c r="B3" s="7" t="s">
        <v>92</v>
      </c>
      <c r="C3" s="2" t="s">
        <v>417</v>
      </c>
      <c r="D3" s="2" t="s">
        <v>418</v>
      </c>
      <c r="E3" s="33">
        <v>46064</v>
      </c>
      <c r="F3" s="27">
        <f>C3-E3</f>
        <v>0.31425925925577758</v>
      </c>
      <c r="G3" s="27"/>
      <c r="H3" s="27"/>
      <c r="I3" s="27">
        <f t="shared" ref="I3:I13" si="0">D3-E3</f>
        <v>0.7175115740756155</v>
      </c>
      <c r="J3" s="8"/>
    </row>
    <row r="4" spans="1:12" x14ac:dyDescent="0.25">
      <c r="A4" s="6" t="s">
        <v>91</v>
      </c>
      <c r="B4" s="7" t="s">
        <v>92</v>
      </c>
      <c r="C4" s="2" t="s">
        <v>419</v>
      </c>
      <c r="D4" s="2" t="s">
        <v>420</v>
      </c>
      <c r="E4" s="33">
        <v>46065</v>
      </c>
      <c r="F4" s="27">
        <f t="shared" ref="F4:F6" si="1">C4-E4</f>
        <v>0.33368055555911269</v>
      </c>
      <c r="G4" s="27"/>
      <c r="H4" s="27"/>
      <c r="I4" s="27">
        <f t="shared" si="0"/>
        <v>0.73468750000029104</v>
      </c>
      <c r="J4" s="8"/>
    </row>
    <row r="5" spans="1:12" x14ac:dyDescent="0.25">
      <c r="A5" s="6" t="s">
        <v>91</v>
      </c>
      <c r="B5" s="7" t="s">
        <v>92</v>
      </c>
      <c r="C5" s="2" t="s">
        <v>421</v>
      </c>
      <c r="D5" s="2" t="s">
        <v>422</v>
      </c>
      <c r="E5" s="33">
        <v>46066</v>
      </c>
      <c r="F5" s="27">
        <f t="shared" si="1"/>
        <v>0.32269675925635966</v>
      </c>
      <c r="G5" s="27"/>
      <c r="H5" s="27"/>
      <c r="I5" s="27">
        <f t="shared" si="0"/>
        <v>0.71359953703358769</v>
      </c>
      <c r="J5" s="8"/>
      <c r="K5" s="3" t="s">
        <v>6</v>
      </c>
      <c r="L5" s="4">
        <v>0</v>
      </c>
    </row>
    <row r="6" spans="1:12" x14ac:dyDescent="0.25">
      <c r="A6" s="6" t="s">
        <v>91</v>
      </c>
      <c r="B6" s="7" t="s">
        <v>92</v>
      </c>
      <c r="C6" s="2" t="s">
        <v>423</v>
      </c>
      <c r="D6" s="2" t="s">
        <v>424</v>
      </c>
      <c r="E6" s="33">
        <v>46067</v>
      </c>
      <c r="F6" s="27">
        <f t="shared" si="1"/>
        <v>0.32398148148058681</v>
      </c>
      <c r="G6" s="27"/>
      <c r="H6" s="27"/>
      <c r="I6" s="27">
        <f t="shared" si="0"/>
        <v>0.70984953703737119</v>
      </c>
      <c r="J6" s="8"/>
      <c r="K6" s="3" t="s">
        <v>7</v>
      </c>
      <c r="L6" s="4">
        <v>1</v>
      </c>
    </row>
    <row r="7" spans="1:12" x14ac:dyDescent="0.25">
      <c r="A7" s="6" t="s">
        <v>91</v>
      </c>
      <c r="B7" s="7" t="s">
        <v>92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f>60+5</f>
        <v>65</v>
      </c>
    </row>
    <row r="8" spans="1:12" x14ac:dyDescent="0.25">
      <c r="A8" s="6" t="s">
        <v>91</v>
      </c>
      <c r="B8" s="7" t="s">
        <v>92</v>
      </c>
      <c r="C8" s="2"/>
      <c r="D8" s="2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91</v>
      </c>
      <c r="B9" s="7" t="s">
        <v>92</v>
      </c>
      <c r="C9" s="2" t="s">
        <v>425</v>
      </c>
      <c r="D9" s="2" t="s">
        <v>426</v>
      </c>
      <c r="E9" s="33">
        <v>46070</v>
      </c>
      <c r="F9" s="48">
        <f t="shared" ref="F9:F13" si="2">C9-E9</f>
        <v>0.3787847222192795</v>
      </c>
      <c r="G9" s="27"/>
      <c r="H9" s="27"/>
      <c r="I9" s="27">
        <f t="shared" si="0"/>
        <v>0.71121527777722804</v>
      </c>
      <c r="J9" s="8"/>
      <c r="K9" s="3" t="s">
        <v>10</v>
      </c>
      <c r="L9" s="4">
        <v>0</v>
      </c>
    </row>
    <row r="10" spans="1:12" x14ac:dyDescent="0.25">
      <c r="A10" s="6" t="s">
        <v>91</v>
      </c>
      <c r="B10" s="7" t="s">
        <v>92</v>
      </c>
      <c r="C10" s="2" t="s">
        <v>427</v>
      </c>
      <c r="D10" s="2" t="s">
        <v>428</v>
      </c>
      <c r="E10" s="33">
        <v>46071</v>
      </c>
      <c r="F10" s="27">
        <f t="shared" si="2"/>
        <v>0.32917824073956581</v>
      </c>
      <c r="G10" s="27"/>
      <c r="H10" s="27"/>
      <c r="I10" s="27">
        <f t="shared" si="0"/>
        <v>0.70993055555300089</v>
      </c>
      <c r="J10" s="8"/>
    </row>
    <row r="11" spans="1:12" x14ac:dyDescent="0.25">
      <c r="A11" s="6" t="s">
        <v>91</v>
      </c>
      <c r="B11" s="7" t="s">
        <v>92</v>
      </c>
      <c r="C11" s="2" t="s">
        <v>429</v>
      </c>
      <c r="D11" s="2" t="s">
        <v>430</v>
      </c>
      <c r="E11" s="33">
        <v>46072</v>
      </c>
      <c r="F11" s="27">
        <f t="shared" si="2"/>
        <v>0.32548611111269565</v>
      </c>
      <c r="G11" s="27"/>
      <c r="H11" s="27"/>
      <c r="I11" s="27">
        <f t="shared" si="0"/>
        <v>0.77193287036789116</v>
      </c>
      <c r="J11" s="8"/>
    </row>
    <row r="12" spans="1:12" x14ac:dyDescent="0.25">
      <c r="A12" s="6" t="s">
        <v>91</v>
      </c>
      <c r="B12" s="7" t="s">
        <v>92</v>
      </c>
      <c r="C12" s="2" t="s">
        <v>431</v>
      </c>
      <c r="D12" s="2" t="s">
        <v>432</v>
      </c>
      <c r="E12" s="33">
        <v>46073</v>
      </c>
      <c r="F12" s="27">
        <f t="shared" si="2"/>
        <v>0.32435185185022419</v>
      </c>
      <c r="G12" s="27"/>
      <c r="H12" s="27"/>
      <c r="I12" s="27">
        <f t="shared" si="0"/>
        <v>0.71050925926101627</v>
      </c>
      <c r="J12" s="8"/>
    </row>
    <row r="13" spans="1:12" x14ac:dyDescent="0.25">
      <c r="A13" s="6" t="s">
        <v>91</v>
      </c>
      <c r="B13" s="7" t="s">
        <v>92</v>
      </c>
      <c r="C13" s="2" t="s">
        <v>433</v>
      </c>
      <c r="D13" s="2" t="s">
        <v>434</v>
      </c>
      <c r="E13" s="33">
        <v>46074</v>
      </c>
      <c r="F13" s="27">
        <f t="shared" si="2"/>
        <v>0.32540509258979</v>
      </c>
      <c r="G13" s="27"/>
      <c r="H13" s="27"/>
      <c r="I13" s="27">
        <f t="shared" si="0"/>
        <v>0.71702546296000946</v>
      </c>
      <c r="J13" s="8"/>
    </row>
    <row r="14" spans="1:12" x14ac:dyDescent="0.25">
      <c r="A14" s="6" t="s">
        <v>91</v>
      </c>
      <c r="B14" s="7" t="s">
        <v>92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91</v>
      </c>
      <c r="B15" s="7" t="s">
        <v>92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91</v>
      </c>
      <c r="B16" s="7" t="s">
        <v>92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91</v>
      </c>
      <c r="B17" s="7" t="s">
        <v>92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91</v>
      </c>
      <c r="B18" s="7" t="s">
        <v>92</v>
      </c>
      <c r="C18" s="28"/>
      <c r="D18" s="28"/>
      <c r="E18" s="33"/>
      <c r="F18" s="27"/>
      <c r="G18" s="29"/>
      <c r="H18" s="29"/>
      <c r="I18" s="27"/>
      <c r="J18" s="8"/>
    </row>
    <row r="19" spans="1:10" ht="15" customHeight="1" x14ac:dyDescent="0.25">
      <c r="A19" s="6"/>
      <c r="B19" s="7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806" priority="25" operator="equal">
      <formula>"UNDERTIME"</formula>
    </cfRule>
  </conditionalFormatting>
  <conditionalFormatting sqref="F3:H18">
    <cfRule type="cellIs" dxfId="805" priority="1" operator="equal">
      <formula>"UNDERTIME"</formula>
    </cfRule>
  </conditionalFormatting>
  <conditionalFormatting sqref="F1:J2 F19:J1048576">
    <cfRule type="cellIs" dxfId="804" priority="16" operator="equal">
      <formula>"UNDERTIME"</formula>
    </cfRule>
  </conditionalFormatting>
  <conditionalFormatting sqref="J1:J2 J14:J1048576">
    <cfRule type="cellIs" dxfId="803" priority="17" operator="equal">
      <formula>"UNDERTIME"</formula>
    </cfRule>
  </conditionalFormatting>
  <conditionalFormatting sqref="J1:J14">
    <cfRule type="cellIs" dxfId="802" priority="7" operator="equal">
      <formula>"OB"</formula>
    </cfRule>
  </conditionalFormatting>
  <conditionalFormatting sqref="J1:J1048576">
    <cfRule type="cellIs" dxfId="801" priority="6" operator="equal">
      <formula>"HOLIDAY"</formula>
    </cfRule>
    <cfRule type="cellIs" dxfId="800" priority="8" operator="equal">
      <formula>"RESTDAY"</formula>
    </cfRule>
    <cfRule type="cellIs" dxfId="799" priority="9" operator="equal">
      <formula>"HALF DAY"</formula>
    </cfRule>
    <cfRule type="cellIs" dxfId="798" priority="10" operator="equal">
      <formula>"ABSENT"</formula>
    </cfRule>
    <cfRule type="cellIs" dxfId="797" priority="12" operator="equal">
      <formula>"ABSENT"</formula>
    </cfRule>
  </conditionalFormatting>
  <conditionalFormatting sqref="J3:J14">
    <cfRule type="cellIs" dxfId="796" priority="11" operator="equal">
      <formula>"UNDERTIME"</formula>
    </cfRule>
  </conditionalFormatting>
  <conditionalFormatting sqref="J3:J18">
    <cfRule type="cellIs" dxfId="795" priority="5" operator="equal">
      <formula>"UNDERTIME"</formula>
    </cfRule>
  </conditionalFormatting>
  <conditionalFormatting sqref="J5:J1048576">
    <cfRule type="cellIs" dxfId="794" priority="14" operator="equal">
      <formula>"OB"</formula>
    </cfRule>
  </conditionalFormatting>
  <conditionalFormatting sqref="J6">
    <cfRule type="cellIs" dxfId="793" priority="4" operator="equal">
      <formula>"OB"</formula>
    </cfRule>
  </conditionalFormatting>
  <conditionalFormatting sqref="J7">
    <cfRule type="cellIs" dxfId="792" priority="15" operator="equal">
      <formula>"OB"</formula>
    </cfRule>
  </conditionalFormatting>
  <conditionalFormatting sqref="J13">
    <cfRule type="cellIs" dxfId="791" priority="13" operator="equal">
      <formula>"OB"</formula>
    </cfRule>
  </conditionalFormatting>
  <conditionalFormatting sqref="J14">
    <cfRule type="cellIs" dxfId="790" priority="3" operator="equal">
      <formula>"OB"</formula>
    </cfRule>
    <cfRule type="cellIs" dxfId="789" priority="18" operator="equal">
      <formula>"OB"</formula>
    </cfRule>
  </conditionalFormatting>
  <conditionalFormatting sqref="J14:J1048576">
    <cfRule type="cellIs" dxfId="788" priority="19" operator="equal">
      <formula>"OB"</formula>
    </cfRule>
  </conditionalFormatting>
  <conditionalFormatting sqref="J17:J18">
    <cfRule type="cellIs" dxfId="787" priority="20" operator="equal">
      <formula>"OB"</formula>
    </cfRule>
  </conditionalFormatting>
  <conditionalFormatting sqref="K6:K8">
    <cfRule type="containsText" dxfId="786" priority="43" operator="containsText" text="SUNDAY">
      <formula>NOT(ISERROR(SEARCH("SUNDAY",K6)))</formula>
    </cfRule>
    <cfRule type="containsText" dxfId="785" priority="44" operator="containsText" text="HOLIDAY">
      <formula>NOT(ISERROR(SEARCH("HOLIDAY",K6)))</formula>
    </cfRule>
  </conditionalFormatting>
  <conditionalFormatting sqref="K9">
    <cfRule type="containsText" dxfId="784" priority="45" operator="containsText" text="SUNDAY">
      <formula>NOT(ISERROR(SEARCH("SUNDAY",K9)))</formula>
    </cfRule>
    <cfRule type="containsText" dxfId="783" priority="46" operator="containsText" text="HOLIDAY">
      <formula>NOT(ISERROR(SEARCH("HOLIDAY",K9)))</formula>
    </cfRule>
  </conditionalFormatting>
  <conditionalFormatting sqref="L5:L9">
    <cfRule type="containsText" dxfId="782" priority="41" operator="containsText" text="SUNDAY">
      <formula>NOT(ISERROR(SEARCH("SUNDAY",L5)))</formula>
    </cfRule>
    <cfRule type="containsText" dxfId="781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0F14-1964-488A-99C3-B9C5AA34F89B}">
  <dimension ref="A1:L26"/>
  <sheetViews>
    <sheetView zoomScaleNormal="100" zoomScaleSheetLayoutView="93" workbookViewId="0">
      <selection activeCell="L9" sqref="L9"/>
    </sheetView>
  </sheetViews>
  <sheetFormatPr defaultColWidth="8.85546875" defaultRowHeight="15" x14ac:dyDescent="0.25"/>
  <cols>
    <col min="1" max="1" width="13.28515625" style="1" bestFit="1" customWidth="1"/>
    <col min="2" max="2" width="14.42578125" style="1" bestFit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34"/>
      <c r="B2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93</v>
      </c>
      <c r="B3" s="7" t="s">
        <v>94</v>
      </c>
      <c r="C3" s="2" t="s">
        <v>436</v>
      </c>
      <c r="D3" s="2" t="s">
        <v>435</v>
      </c>
      <c r="E3" s="33">
        <v>46064</v>
      </c>
      <c r="F3" s="27">
        <f>C3-E3</f>
        <v>0.330706018517958</v>
      </c>
      <c r="G3" s="27"/>
      <c r="H3" s="27"/>
      <c r="I3" s="27">
        <f t="shared" ref="I3:I12" si="0">D3-E3</f>
        <v>0.70925925925985212</v>
      </c>
      <c r="J3" s="8"/>
    </row>
    <row r="4" spans="1:12" x14ac:dyDescent="0.25">
      <c r="A4" s="6" t="s">
        <v>93</v>
      </c>
      <c r="B4" s="7" t="s">
        <v>94</v>
      </c>
      <c r="C4" s="2" t="s">
        <v>437</v>
      </c>
      <c r="D4" s="2" t="s">
        <v>438</v>
      </c>
      <c r="E4" s="33">
        <v>46065</v>
      </c>
      <c r="F4" s="27"/>
      <c r="G4" s="27"/>
      <c r="H4" s="27"/>
      <c r="I4" s="27">
        <f t="shared" si="0"/>
        <v>0.70913194444437977</v>
      </c>
      <c r="J4" s="8" t="s">
        <v>482</v>
      </c>
    </row>
    <row r="5" spans="1:12" x14ac:dyDescent="0.25">
      <c r="A5" s="6" t="s">
        <v>93</v>
      </c>
      <c r="B5" s="7" t="s">
        <v>94</v>
      </c>
      <c r="C5" s="2" t="s">
        <v>439</v>
      </c>
      <c r="D5" s="2" t="s">
        <v>440</v>
      </c>
      <c r="E5" s="33">
        <v>46066</v>
      </c>
      <c r="F5" s="27">
        <f t="shared" ref="F5:F6" si="1">C5-E5</f>
        <v>0.32406250000349246</v>
      </c>
      <c r="G5" s="27"/>
      <c r="H5" s="27"/>
      <c r="I5" s="27">
        <f t="shared" si="0"/>
        <v>0.70981481481430819</v>
      </c>
      <c r="J5" s="8"/>
      <c r="K5" s="3" t="s">
        <v>6</v>
      </c>
      <c r="L5" s="4">
        <v>0</v>
      </c>
    </row>
    <row r="6" spans="1:12" x14ac:dyDescent="0.25">
      <c r="A6" s="6" t="s">
        <v>93</v>
      </c>
      <c r="B6" s="7" t="s">
        <v>94</v>
      </c>
      <c r="C6" s="2" t="s">
        <v>441</v>
      </c>
      <c r="D6" s="2" t="s">
        <v>442</v>
      </c>
      <c r="E6" s="33">
        <v>46067</v>
      </c>
      <c r="F6" s="27">
        <f t="shared" si="1"/>
        <v>0.32552083333575865</v>
      </c>
      <c r="G6" s="27"/>
      <c r="H6" s="27"/>
      <c r="I6" s="27">
        <f t="shared" si="0"/>
        <v>0.70953703703708015</v>
      </c>
      <c r="J6" s="8"/>
      <c r="K6" s="3" t="s">
        <v>7</v>
      </c>
      <c r="L6" s="4">
        <v>2</v>
      </c>
    </row>
    <row r="7" spans="1:12" x14ac:dyDescent="0.25">
      <c r="A7" s="6" t="s">
        <v>93</v>
      </c>
      <c r="B7" s="7" t="s">
        <v>94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93</v>
      </c>
      <c r="B8" s="7" t="s">
        <v>94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93</v>
      </c>
      <c r="B9" s="7" t="s">
        <v>94</v>
      </c>
      <c r="C9" s="2" t="s">
        <v>443</v>
      </c>
      <c r="D9" s="2" t="s">
        <v>444</v>
      </c>
      <c r="E9" s="33">
        <v>46070</v>
      </c>
      <c r="F9" s="27">
        <f t="shared" ref="F9:F12" si="2">C9-E9</f>
        <v>0.31798611111298669</v>
      </c>
      <c r="G9" s="27"/>
      <c r="H9" s="27"/>
      <c r="I9" s="27">
        <f t="shared" si="0"/>
        <v>0.70864583333604969</v>
      </c>
      <c r="J9" s="8"/>
      <c r="K9" s="3" t="s">
        <v>10</v>
      </c>
      <c r="L9" s="4">
        <f>5</f>
        <v>5</v>
      </c>
    </row>
    <row r="10" spans="1:12" x14ac:dyDescent="0.25">
      <c r="A10" s="6" t="s">
        <v>93</v>
      </c>
      <c r="B10" s="7" t="s">
        <v>94</v>
      </c>
      <c r="C10" s="2" t="s">
        <v>445</v>
      </c>
      <c r="D10" s="2" t="s">
        <v>446</v>
      </c>
      <c r="E10" s="33">
        <v>46071</v>
      </c>
      <c r="F10" s="27">
        <f t="shared" si="2"/>
        <v>0.32498842592758592</v>
      </c>
      <c r="G10" s="27"/>
      <c r="H10" s="27"/>
      <c r="I10" s="27">
        <f t="shared" si="0"/>
        <v>0.70900462962890742</v>
      </c>
      <c r="J10" s="8"/>
    </row>
    <row r="11" spans="1:12" x14ac:dyDescent="0.25">
      <c r="A11" s="6" t="s">
        <v>93</v>
      </c>
      <c r="B11" s="7" t="s">
        <v>94</v>
      </c>
      <c r="C11" s="2" t="s">
        <v>447</v>
      </c>
      <c r="D11" s="2" t="s">
        <v>448</v>
      </c>
      <c r="E11" s="33">
        <v>46072</v>
      </c>
      <c r="F11" s="27">
        <f t="shared" si="2"/>
        <v>0.32856481481576338</v>
      </c>
      <c r="G11" s="27"/>
      <c r="H11" s="27"/>
      <c r="I11" s="27">
        <f t="shared" si="0"/>
        <v>0.70861111111298669</v>
      </c>
      <c r="J11" s="8"/>
    </row>
    <row r="12" spans="1:12" x14ac:dyDescent="0.25">
      <c r="A12" s="6" t="s">
        <v>93</v>
      </c>
      <c r="B12" s="7" t="s">
        <v>94</v>
      </c>
      <c r="C12" s="2" t="s">
        <v>449</v>
      </c>
      <c r="D12" s="2" t="s">
        <v>450</v>
      </c>
      <c r="E12" s="33">
        <v>46073</v>
      </c>
      <c r="F12" s="27">
        <f t="shared" si="2"/>
        <v>0.31995370370714227</v>
      </c>
      <c r="G12" s="27"/>
      <c r="H12" s="27"/>
      <c r="I12" s="27">
        <f t="shared" si="0"/>
        <v>0.70925925925985212</v>
      </c>
      <c r="J12" s="8"/>
    </row>
    <row r="13" spans="1:12" x14ac:dyDescent="0.25">
      <c r="A13" s="6" t="s">
        <v>93</v>
      </c>
      <c r="B13" s="7" t="s">
        <v>94</v>
      </c>
      <c r="C13" s="2"/>
      <c r="D13" s="2"/>
      <c r="E13" s="33">
        <v>46074</v>
      </c>
      <c r="F13" s="27"/>
      <c r="G13" s="27"/>
      <c r="H13" s="27"/>
      <c r="I13" s="27"/>
      <c r="J13" s="8" t="s">
        <v>156</v>
      </c>
    </row>
    <row r="14" spans="1:12" x14ac:dyDescent="0.25">
      <c r="A14" s="6" t="s">
        <v>93</v>
      </c>
      <c r="B14" s="7" t="s">
        <v>94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93</v>
      </c>
      <c r="B15" s="7" t="s">
        <v>94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93</v>
      </c>
      <c r="B16" s="7" t="s">
        <v>94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93</v>
      </c>
      <c r="B17" s="7" t="s">
        <v>94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93</v>
      </c>
      <c r="B18" s="7" t="s">
        <v>94</v>
      </c>
      <c r="C18" s="28"/>
      <c r="D18" s="28"/>
      <c r="E18" s="33"/>
      <c r="F18" s="27"/>
      <c r="G18" s="29"/>
      <c r="H18" s="29"/>
      <c r="I18" s="27"/>
      <c r="J18" s="8"/>
    </row>
    <row r="19" spans="1:10" ht="15" customHeight="1" x14ac:dyDescent="0.25">
      <c r="A19" s="6"/>
      <c r="B19" s="7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780" priority="25" operator="equal">
      <formula>"UNDERTIME"</formula>
    </cfRule>
  </conditionalFormatting>
  <conditionalFormatting sqref="F3:H18">
    <cfRule type="cellIs" dxfId="779" priority="1" operator="equal">
      <formula>"UNDERTIME"</formula>
    </cfRule>
  </conditionalFormatting>
  <conditionalFormatting sqref="F1:J2 F19:J1048576">
    <cfRule type="cellIs" dxfId="778" priority="16" operator="equal">
      <formula>"UNDERTIME"</formula>
    </cfRule>
  </conditionalFormatting>
  <conditionalFormatting sqref="J1:J2 J14:J1048576">
    <cfRule type="cellIs" dxfId="777" priority="17" operator="equal">
      <formula>"UNDERTIME"</formula>
    </cfRule>
  </conditionalFormatting>
  <conditionalFormatting sqref="J1:J14">
    <cfRule type="cellIs" dxfId="776" priority="7" operator="equal">
      <formula>"OB"</formula>
    </cfRule>
  </conditionalFormatting>
  <conditionalFormatting sqref="J1:J1048576">
    <cfRule type="cellIs" dxfId="775" priority="6" operator="equal">
      <formula>"HOLIDAY"</formula>
    </cfRule>
    <cfRule type="cellIs" dxfId="774" priority="8" operator="equal">
      <formula>"RESTDAY"</formula>
    </cfRule>
    <cfRule type="cellIs" dxfId="773" priority="9" operator="equal">
      <formula>"HALF DAY"</formula>
    </cfRule>
    <cfRule type="cellIs" dxfId="772" priority="10" operator="equal">
      <formula>"ABSENT"</formula>
    </cfRule>
    <cfRule type="cellIs" dxfId="771" priority="12" operator="equal">
      <formula>"ABSENT"</formula>
    </cfRule>
  </conditionalFormatting>
  <conditionalFormatting sqref="J3:J14">
    <cfRule type="cellIs" dxfId="770" priority="11" operator="equal">
      <formula>"UNDERTIME"</formula>
    </cfRule>
  </conditionalFormatting>
  <conditionalFormatting sqref="J3:J18">
    <cfRule type="cellIs" dxfId="769" priority="5" operator="equal">
      <formula>"UNDERTIME"</formula>
    </cfRule>
  </conditionalFormatting>
  <conditionalFormatting sqref="J5:J1048576">
    <cfRule type="cellIs" dxfId="768" priority="14" operator="equal">
      <formula>"OB"</formula>
    </cfRule>
  </conditionalFormatting>
  <conditionalFormatting sqref="J6">
    <cfRule type="cellIs" dxfId="767" priority="4" operator="equal">
      <formula>"OB"</formula>
    </cfRule>
  </conditionalFormatting>
  <conditionalFormatting sqref="J7">
    <cfRule type="cellIs" dxfId="766" priority="15" operator="equal">
      <formula>"OB"</formula>
    </cfRule>
  </conditionalFormatting>
  <conditionalFormatting sqref="J13">
    <cfRule type="cellIs" dxfId="765" priority="13" operator="equal">
      <formula>"OB"</formula>
    </cfRule>
  </conditionalFormatting>
  <conditionalFormatting sqref="J14">
    <cfRule type="cellIs" dxfId="764" priority="3" operator="equal">
      <formula>"OB"</formula>
    </cfRule>
    <cfRule type="cellIs" dxfId="763" priority="18" operator="equal">
      <formula>"OB"</formula>
    </cfRule>
  </conditionalFormatting>
  <conditionalFormatting sqref="J14:J1048576">
    <cfRule type="cellIs" dxfId="762" priority="19" operator="equal">
      <formula>"OB"</formula>
    </cfRule>
  </conditionalFormatting>
  <conditionalFormatting sqref="J17:J18">
    <cfRule type="cellIs" dxfId="761" priority="20" operator="equal">
      <formula>"OB"</formula>
    </cfRule>
  </conditionalFormatting>
  <conditionalFormatting sqref="K6:K8">
    <cfRule type="containsText" dxfId="760" priority="43" operator="containsText" text="SUNDAY">
      <formula>NOT(ISERROR(SEARCH("SUNDAY",K6)))</formula>
    </cfRule>
    <cfRule type="containsText" dxfId="759" priority="44" operator="containsText" text="HOLIDAY">
      <formula>NOT(ISERROR(SEARCH("HOLIDAY",K6)))</formula>
    </cfRule>
  </conditionalFormatting>
  <conditionalFormatting sqref="K9">
    <cfRule type="containsText" dxfId="758" priority="45" operator="containsText" text="SUNDAY">
      <formula>NOT(ISERROR(SEARCH("SUNDAY",K9)))</formula>
    </cfRule>
    <cfRule type="containsText" dxfId="757" priority="46" operator="containsText" text="HOLIDAY">
      <formula>NOT(ISERROR(SEARCH("HOLIDAY",K9)))</formula>
    </cfRule>
  </conditionalFormatting>
  <conditionalFormatting sqref="L5:L9">
    <cfRule type="containsText" dxfId="756" priority="41" operator="containsText" text="SUNDAY">
      <formula>NOT(ISERROR(SEARCH("SUNDAY",L5)))</formula>
    </cfRule>
    <cfRule type="containsText" dxfId="755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5D297-DEC3-4D9E-9A18-2E3705BB7738}">
  <dimension ref="A1:L26"/>
  <sheetViews>
    <sheetView zoomScaleNormal="100" zoomScaleSheetLayoutView="93" workbookViewId="0">
      <selection activeCell="L6" sqref="L6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34"/>
      <c r="B2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96</v>
      </c>
      <c r="B3" s="7" t="s">
        <v>98</v>
      </c>
      <c r="C3" s="2" t="s">
        <v>451</v>
      </c>
      <c r="D3" s="2" t="s">
        <v>452</v>
      </c>
      <c r="E3" s="33">
        <v>46064</v>
      </c>
      <c r="F3" s="27">
        <f>C3-E3</f>
        <v>0.30006944444176042</v>
      </c>
      <c r="G3" s="27"/>
      <c r="H3" s="27"/>
      <c r="I3" s="27">
        <f t="shared" ref="I3:I13" si="0">D3-E3</f>
        <v>0.71706018518307246</v>
      </c>
      <c r="J3" s="8"/>
    </row>
    <row r="4" spans="1:12" x14ac:dyDescent="0.25">
      <c r="A4" s="6" t="s">
        <v>96</v>
      </c>
      <c r="B4" s="7" t="s">
        <v>98</v>
      </c>
      <c r="C4" s="2" t="s">
        <v>453</v>
      </c>
      <c r="D4" s="2" t="s">
        <v>454</v>
      </c>
      <c r="E4" s="33">
        <v>46065</v>
      </c>
      <c r="F4" s="27">
        <f t="shared" ref="F4:F6" si="1">C4-E4</f>
        <v>0.31207175926101627</v>
      </c>
      <c r="G4" s="27"/>
      <c r="H4" s="27"/>
      <c r="I4" s="27">
        <f t="shared" si="0"/>
        <v>0.70916666666744277</v>
      </c>
      <c r="J4" s="8"/>
    </row>
    <row r="5" spans="1:12" x14ac:dyDescent="0.25">
      <c r="A5" s="6" t="s">
        <v>96</v>
      </c>
      <c r="B5" s="7" t="s">
        <v>98</v>
      </c>
      <c r="C5" s="2" t="s">
        <v>455</v>
      </c>
      <c r="D5" s="2" t="s">
        <v>456</v>
      </c>
      <c r="E5" s="33">
        <v>46066</v>
      </c>
      <c r="F5" s="27">
        <f t="shared" si="1"/>
        <v>0.32276620370248565</v>
      </c>
      <c r="G5" s="27"/>
      <c r="H5" s="27"/>
      <c r="I5" s="27">
        <f t="shared" si="0"/>
        <v>0.70895833333634073</v>
      </c>
      <c r="J5" s="8"/>
      <c r="K5" s="3" t="s">
        <v>6</v>
      </c>
      <c r="L5" s="4">
        <v>0</v>
      </c>
    </row>
    <row r="6" spans="1:12" x14ac:dyDescent="0.25">
      <c r="A6" s="6" t="s">
        <v>96</v>
      </c>
      <c r="B6" s="7" t="s">
        <v>98</v>
      </c>
      <c r="C6" s="2" t="s">
        <v>457</v>
      </c>
      <c r="D6" s="2" t="s">
        <v>458</v>
      </c>
      <c r="E6" s="33">
        <v>46067</v>
      </c>
      <c r="F6" s="27">
        <f t="shared" si="1"/>
        <v>0.32391203703446081</v>
      </c>
      <c r="G6" s="27"/>
      <c r="H6" s="27"/>
      <c r="I6" s="27">
        <f t="shared" si="0"/>
        <v>0.70851851852057735</v>
      </c>
      <c r="J6" s="8"/>
      <c r="K6" s="3" t="s">
        <v>7</v>
      </c>
      <c r="L6" s="4">
        <v>1</v>
      </c>
    </row>
    <row r="7" spans="1:12" x14ac:dyDescent="0.25">
      <c r="A7" s="6" t="s">
        <v>96</v>
      </c>
      <c r="B7" s="7" t="s">
        <v>98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96</v>
      </c>
      <c r="B8" s="7" t="s">
        <v>98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96</v>
      </c>
      <c r="B9" s="7" t="s">
        <v>98</v>
      </c>
      <c r="C9" s="2" t="s">
        <v>459</v>
      </c>
      <c r="D9" s="2" t="s">
        <v>460</v>
      </c>
      <c r="E9" s="33">
        <v>46070</v>
      </c>
      <c r="F9" s="27">
        <f t="shared" ref="F9:F13" si="2">C9-E9</f>
        <v>0.30087962962716119</v>
      </c>
      <c r="G9" s="27"/>
      <c r="H9" s="27"/>
      <c r="I9" s="27">
        <f t="shared" si="0"/>
        <v>0.70847222222073469</v>
      </c>
      <c r="J9" s="8"/>
      <c r="K9" s="3" t="s">
        <v>10</v>
      </c>
      <c r="L9" s="4">
        <v>0</v>
      </c>
    </row>
    <row r="10" spans="1:12" x14ac:dyDescent="0.25">
      <c r="A10" s="6" t="s">
        <v>96</v>
      </c>
      <c r="B10" s="7" t="s">
        <v>98</v>
      </c>
      <c r="C10" s="2" t="s">
        <v>461</v>
      </c>
      <c r="D10" s="2" t="s">
        <v>462</v>
      </c>
      <c r="E10" s="33">
        <v>46071</v>
      </c>
      <c r="F10" s="27">
        <f t="shared" si="2"/>
        <v>0.320173611107748</v>
      </c>
      <c r="G10" s="27"/>
      <c r="H10" s="27"/>
      <c r="I10" s="27">
        <f t="shared" si="0"/>
        <v>0.71302083333284827</v>
      </c>
      <c r="J10" s="8"/>
    </row>
    <row r="11" spans="1:12" x14ac:dyDescent="0.25">
      <c r="A11" s="6" t="s">
        <v>96</v>
      </c>
      <c r="B11" s="7" t="s">
        <v>98</v>
      </c>
      <c r="C11" s="2" t="s">
        <v>463</v>
      </c>
      <c r="D11" s="2" t="s">
        <v>464</v>
      </c>
      <c r="E11" s="33">
        <v>46072</v>
      </c>
      <c r="F11" s="27">
        <f t="shared" si="2"/>
        <v>0.31175925926072523</v>
      </c>
      <c r="G11" s="27"/>
      <c r="H11" s="27"/>
      <c r="I11" s="27">
        <f t="shared" si="0"/>
        <v>0.70855324074364034</v>
      </c>
      <c r="J11" s="8"/>
    </row>
    <row r="12" spans="1:12" x14ac:dyDescent="0.25">
      <c r="A12" s="6" t="s">
        <v>96</v>
      </c>
      <c r="B12" s="7" t="s">
        <v>98</v>
      </c>
      <c r="C12" s="2" t="s">
        <v>465</v>
      </c>
      <c r="D12" s="2" t="s">
        <v>466</v>
      </c>
      <c r="E12" s="33">
        <v>46073</v>
      </c>
      <c r="F12" s="27">
        <f t="shared" si="2"/>
        <v>0.32480324074276723</v>
      </c>
      <c r="G12" s="27"/>
      <c r="H12" s="27"/>
      <c r="I12" s="27">
        <f t="shared" si="0"/>
        <v>0.70866898148233304</v>
      </c>
      <c r="J12" s="8"/>
    </row>
    <row r="13" spans="1:12" x14ac:dyDescent="0.25">
      <c r="A13" s="6" t="s">
        <v>96</v>
      </c>
      <c r="B13" s="7" t="s">
        <v>98</v>
      </c>
      <c r="C13" s="2" t="s">
        <v>467</v>
      </c>
      <c r="D13" s="2" t="s">
        <v>468</v>
      </c>
      <c r="E13" s="33">
        <v>46074</v>
      </c>
      <c r="F13" s="27">
        <f t="shared" si="2"/>
        <v>0.3112268518525525</v>
      </c>
      <c r="G13" s="27"/>
      <c r="H13" s="27"/>
      <c r="I13" s="27">
        <f t="shared" si="0"/>
        <v>0.70939814814482816</v>
      </c>
      <c r="J13" s="8"/>
    </row>
    <row r="14" spans="1:12" x14ac:dyDescent="0.25">
      <c r="A14" s="6" t="s">
        <v>96</v>
      </c>
      <c r="B14" s="7" t="s">
        <v>98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96</v>
      </c>
      <c r="B15" s="7" t="s">
        <v>98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96</v>
      </c>
      <c r="B16" s="7" t="s">
        <v>98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96</v>
      </c>
      <c r="B17" s="7" t="s">
        <v>98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96</v>
      </c>
      <c r="B18" s="7" t="s">
        <v>98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A19" s="6"/>
      <c r="B19" s="7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754" priority="25" operator="equal">
      <formula>"UNDERTIME"</formula>
    </cfRule>
  </conditionalFormatting>
  <conditionalFormatting sqref="F3:H18">
    <cfRule type="cellIs" dxfId="753" priority="1" operator="equal">
      <formula>"UNDERTIME"</formula>
    </cfRule>
  </conditionalFormatting>
  <conditionalFormatting sqref="F1:J2 F19:J1048576">
    <cfRule type="cellIs" dxfId="752" priority="16" operator="equal">
      <formula>"UNDERTIME"</formula>
    </cfRule>
  </conditionalFormatting>
  <conditionalFormatting sqref="J1:J2 J14:J1048576">
    <cfRule type="cellIs" dxfId="751" priority="17" operator="equal">
      <formula>"UNDERTIME"</formula>
    </cfRule>
  </conditionalFormatting>
  <conditionalFormatting sqref="J1:J14">
    <cfRule type="cellIs" dxfId="750" priority="7" operator="equal">
      <formula>"OB"</formula>
    </cfRule>
  </conditionalFormatting>
  <conditionalFormatting sqref="J1:J1048576">
    <cfRule type="cellIs" dxfId="749" priority="6" operator="equal">
      <formula>"HOLIDAY"</formula>
    </cfRule>
    <cfRule type="cellIs" dxfId="748" priority="8" operator="equal">
      <formula>"RESTDAY"</formula>
    </cfRule>
    <cfRule type="cellIs" dxfId="747" priority="9" operator="equal">
      <formula>"HALF DAY"</formula>
    </cfRule>
    <cfRule type="cellIs" dxfId="746" priority="10" operator="equal">
      <formula>"ABSENT"</formula>
    </cfRule>
    <cfRule type="cellIs" dxfId="745" priority="12" operator="equal">
      <formula>"ABSENT"</formula>
    </cfRule>
  </conditionalFormatting>
  <conditionalFormatting sqref="J3:J14">
    <cfRule type="cellIs" dxfId="744" priority="11" operator="equal">
      <formula>"UNDERTIME"</formula>
    </cfRule>
  </conditionalFormatting>
  <conditionalFormatting sqref="J3:J18">
    <cfRule type="cellIs" dxfId="743" priority="5" operator="equal">
      <formula>"UNDERTIME"</formula>
    </cfRule>
  </conditionalFormatting>
  <conditionalFormatting sqref="J5:J1048576">
    <cfRule type="cellIs" dxfId="742" priority="14" operator="equal">
      <formula>"OB"</formula>
    </cfRule>
  </conditionalFormatting>
  <conditionalFormatting sqref="J6">
    <cfRule type="cellIs" dxfId="741" priority="4" operator="equal">
      <formula>"OB"</formula>
    </cfRule>
  </conditionalFormatting>
  <conditionalFormatting sqref="J7">
    <cfRule type="cellIs" dxfId="740" priority="15" operator="equal">
      <formula>"OB"</formula>
    </cfRule>
  </conditionalFormatting>
  <conditionalFormatting sqref="J13">
    <cfRule type="cellIs" dxfId="739" priority="13" operator="equal">
      <formula>"OB"</formula>
    </cfRule>
  </conditionalFormatting>
  <conditionalFormatting sqref="J14">
    <cfRule type="cellIs" dxfId="738" priority="3" operator="equal">
      <formula>"OB"</formula>
    </cfRule>
    <cfRule type="cellIs" dxfId="737" priority="18" operator="equal">
      <formula>"OB"</formula>
    </cfRule>
  </conditionalFormatting>
  <conditionalFormatting sqref="J14:J1048576">
    <cfRule type="cellIs" dxfId="736" priority="19" operator="equal">
      <formula>"OB"</formula>
    </cfRule>
  </conditionalFormatting>
  <conditionalFormatting sqref="J17:J18">
    <cfRule type="cellIs" dxfId="735" priority="20" operator="equal">
      <formula>"OB"</formula>
    </cfRule>
  </conditionalFormatting>
  <conditionalFormatting sqref="K6:K8">
    <cfRule type="containsText" dxfId="734" priority="43" operator="containsText" text="SUNDAY">
      <formula>NOT(ISERROR(SEARCH("SUNDAY",K6)))</formula>
    </cfRule>
    <cfRule type="containsText" dxfId="733" priority="44" operator="containsText" text="HOLIDAY">
      <formula>NOT(ISERROR(SEARCH("HOLIDAY",K6)))</formula>
    </cfRule>
  </conditionalFormatting>
  <conditionalFormatting sqref="K9">
    <cfRule type="containsText" dxfId="732" priority="45" operator="containsText" text="SUNDAY">
      <formula>NOT(ISERROR(SEARCH("SUNDAY",K9)))</formula>
    </cfRule>
    <cfRule type="containsText" dxfId="731" priority="46" operator="containsText" text="HOLIDAY">
      <formula>NOT(ISERROR(SEARCH("HOLIDAY",K9)))</formula>
    </cfRule>
  </conditionalFormatting>
  <conditionalFormatting sqref="L5:L9">
    <cfRule type="containsText" dxfId="730" priority="41" operator="containsText" text="SUNDAY">
      <formula>NOT(ISERROR(SEARCH("SUNDAY",L5)))</formula>
    </cfRule>
    <cfRule type="containsText" dxfId="729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8C75-927F-4AAE-B8FA-24E419F1622E}">
  <dimension ref="A1:L26"/>
  <sheetViews>
    <sheetView zoomScaleNormal="100" zoomScaleSheetLayoutView="93" workbookViewId="0">
      <selection activeCell="L15" sqref="L15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38</v>
      </c>
      <c r="B3" s="7" t="s">
        <v>39</v>
      </c>
      <c r="C3" s="2" t="s">
        <v>469</v>
      </c>
      <c r="D3" s="2" t="s">
        <v>470</v>
      </c>
      <c r="E3" s="33">
        <v>46064</v>
      </c>
      <c r="F3" s="27">
        <f>C3-E3</f>
        <v>0.32334490741050104</v>
      </c>
      <c r="G3" s="27"/>
      <c r="H3" s="27"/>
      <c r="I3" s="27">
        <f t="shared" ref="I3:I10" si="0">D3-E3</f>
        <v>0.70982638889108784</v>
      </c>
      <c r="J3" s="8"/>
    </row>
    <row r="4" spans="1:12" x14ac:dyDescent="0.25">
      <c r="A4" s="6" t="s">
        <v>38</v>
      </c>
      <c r="B4" s="7" t="s">
        <v>39</v>
      </c>
      <c r="C4" s="2" t="s">
        <v>471</v>
      </c>
      <c r="D4" s="2" t="s">
        <v>472</v>
      </c>
      <c r="E4" s="33">
        <v>46065</v>
      </c>
      <c r="F4" s="27">
        <f t="shared" ref="F4:F6" si="1">C4-E4</f>
        <v>0.32629629629809642</v>
      </c>
      <c r="G4" s="27"/>
      <c r="H4" s="27"/>
      <c r="I4" s="27">
        <f t="shared" si="0"/>
        <v>0.70953703703708015</v>
      </c>
      <c r="J4" s="8"/>
    </row>
    <row r="5" spans="1:12" x14ac:dyDescent="0.25">
      <c r="A5" s="6" t="s">
        <v>38</v>
      </c>
      <c r="B5" s="7" t="s">
        <v>39</v>
      </c>
      <c r="C5" s="2" t="s">
        <v>473</v>
      </c>
      <c r="D5" s="2" t="s">
        <v>474</v>
      </c>
      <c r="E5" s="33">
        <v>46066</v>
      </c>
      <c r="F5" s="27">
        <f t="shared" si="1"/>
        <v>0.32251157407154096</v>
      </c>
      <c r="G5" s="27"/>
      <c r="H5" s="27"/>
      <c r="I5" s="27">
        <f t="shared" si="0"/>
        <v>0.71065972222277196</v>
      </c>
      <c r="J5" s="8"/>
      <c r="K5" s="3" t="s">
        <v>6</v>
      </c>
      <c r="L5" s="4">
        <v>0</v>
      </c>
    </row>
    <row r="6" spans="1:12" x14ac:dyDescent="0.25">
      <c r="A6" s="6" t="s">
        <v>38</v>
      </c>
      <c r="B6" s="7" t="s">
        <v>39</v>
      </c>
      <c r="C6" s="2" t="s">
        <v>475</v>
      </c>
      <c r="D6" s="2" t="s">
        <v>476</v>
      </c>
      <c r="E6" s="33">
        <v>46067</v>
      </c>
      <c r="F6" s="27">
        <f t="shared" si="1"/>
        <v>0.32657407407532446</v>
      </c>
      <c r="G6" s="27"/>
      <c r="H6" s="27"/>
      <c r="I6" s="27">
        <f t="shared" si="0"/>
        <v>0.70914351852115942</v>
      </c>
      <c r="J6" s="8"/>
      <c r="K6" s="3" t="s">
        <v>7</v>
      </c>
      <c r="L6" s="4">
        <v>0</v>
      </c>
    </row>
    <row r="7" spans="1:12" x14ac:dyDescent="0.25">
      <c r="A7" s="6" t="s">
        <v>38</v>
      </c>
      <c r="B7" s="7" t="s">
        <v>39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38</v>
      </c>
      <c r="B8" s="7" t="s">
        <v>39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38</v>
      </c>
      <c r="B9" s="7" t="s">
        <v>39</v>
      </c>
      <c r="C9" s="2" t="s">
        <v>477</v>
      </c>
      <c r="D9" s="2" t="s">
        <v>478</v>
      </c>
      <c r="E9" s="33">
        <v>46070</v>
      </c>
      <c r="F9" s="27">
        <f t="shared" ref="F9:F11" si="2">C9-E9</f>
        <v>0.31771990740526235</v>
      </c>
      <c r="G9" s="27"/>
      <c r="H9" s="27"/>
      <c r="I9" s="27">
        <f t="shared" si="0"/>
        <v>0.70950231481401715</v>
      </c>
      <c r="J9" s="8"/>
      <c r="K9" s="3" t="s">
        <v>10</v>
      </c>
      <c r="L9" s="4">
        <v>0</v>
      </c>
    </row>
    <row r="10" spans="1:12" x14ac:dyDescent="0.25">
      <c r="A10" s="6" t="s">
        <v>38</v>
      </c>
      <c r="B10" s="7" t="s">
        <v>39</v>
      </c>
      <c r="C10" s="2" t="s">
        <v>479</v>
      </c>
      <c r="D10" s="2" t="s">
        <v>480</v>
      </c>
      <c r="E10" s="33">
        <v>46071</v>
      </c>
      <c r="F10" s="27">
        <f t="shared" si="2"/>
        <v>0.3243055555576575</v>
      </c>
      <c r="G10" s="27"/>
      <c r="H10" s="27"/>
      <c r="I10" s="27">
        <f t="shared" si="0"/>
        <v>0.70853009259008104</v>
      </c>
      <c r="J10" s="8"/>
    </row>
    <row r="11" spans="1:12" x14ac:dyDescent="0.25">
      <c r="A11" s="6" t="s">
        <v>38</v>
      </c>
      <c r="B11" s="7" t="s">
        <v>39</v>
      </c>
      <c r="C11" s="2" t="s">
        <v>481</v>
      </c>
      <c r="D11" s="2"/>
      <c r="E11" s="33">
        <v>46072</v>
      </c>
      <c r="F11" s="27">
        <f t="shared" si="2"/>
        <v>6.6469907404098194E-2</v>
      </c>
      <c r="G11" s="27"/>
      <c r="H11" s="27"/>
      <c r="I11" s="27"/>
      <c r="J11" s="8" t="s">
        <v>482</v>
      </c>
    </row>
    <row r="12" spans="1:12" x14ac:dyDescent="0.25">
      <c r="A12" s="6" t="s">
        <v>38</v>
      </c>
      <c r="B12" s="7" t="s">
        <v>39</v>
      </c>
      <c r="C12" s="2"/>
      <c r="D12" s="2"/>
      <c r="E12" s="33">
        <v>46073</v>
      </c>
      <c r="F12" s="27"/>
      <c r="G12" s="27"/>
      <c r="H12" s="27"/>
      <c r="I12" s="27"/>
      <c r="J12" s="8" t="s">
        <v>482</v>
      </c>
    </row>
    <row r="13" spans="1:12" x14ac:dyDescent="0.25">
      <c r="A13" s="6" t="s">
        <v>38</v>
      </c>
      <c r="B13" s="7" t="s">
        <v>39</v>
      </c>
      <c r="C13" s="2"/>
      <c r="D13" s="2"/>
      <c r="E13" s="33">
        <v>46074</v>
      </c>
      <c r="F13" s="27"/>
      <c r="G13" s="27"/>
      <c r="H13" s="27"/>
      <c r="I13" s="27"/>
      <c r="J13" s="8" t="s">
        <v>482</v>
      </c>
    </row>
    <row r="14" spans="1:12" x14ac:dyDescent="0.25">
      <c r="A14" s="6" t="s">
        <v>38</v>
      </c>
      <c r="B14" s="7" t="s">
        <v>39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38</v>
      </c>
      <c r="B15" s="7" t="s">
        <v>39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38</v>
      </c>
      <c r="B16" s="7" t="s">
        <v>39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38</v>
      </c>
      <c r="B17" s="7" t="s">
        <v>39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38</v>
      </c>
      <c r="B18" s="7" t="s">
        <v>39</v>
      </c>
      <c r="C18" s="28"/>
      <c r="D18" s="28"/>
      <c r="E18" s="33"/>
      <c r="F18" s="27"/>
      <c r="G18" s="29"/>
      <c r="H18" s="29"/>
      <c r="I18" s="27"/>
      <c r="J18" s="8"/>
    </row>
    <row r="19" spans="1:10" ht="15" customHeight="1" x14ac:dyDescent="0.25">
      <c r="A19" s="5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728" priority="25" operator="equal">
      <formula>"UNDERTIME"</formula>
    </cfRule>
  </conditionalFormatting>
  <conditionalFormatting sqref="F3:H18">
    <cfRule type="cellIs" dxfId="727" priority="1" operator="equal">
      <formula>"UNDERTIME"</formula>
    </cfRule>
  </conditionalFormatting>
  <conditionalFormatting sqref="F1:J2 F19:J1048576">
    <cfRule type="cellIs" dxfId="726" priority="16" operator="equal">
      <formula>"UNDERTIME"</formula>
    </cfRule>
  </conditionalFormatting>
  <conditionalFormatting sqref="J1:J2 J14:J1048576">
    <cfRule type="cellIs" dxfId="725" priority="17" operator="equal">
      <formula>"UNDERTIME"</formula>
    </cfRule>
  </conditionalFormatting>
  <conditionalFormatting sqref="J1:J14">
    <cfRule type="cellIs" dxfId="724" priority="7" operator="equal">
      <formula>"OB"</formula>
    </cfRule>
  </conditionalFormatting>
  <conditionalFormatting sqref="J1:J1048576">
    <cfRule type="cellIs" dxfId="723" priority="6" operator="equal">
      <formula>"HOLIDAY"</formula>
    </cfRule>
    <cfRule type="cellIs" dxfId="722" priority="8" operator="equal">
      <formula>"RESTDAY"</formula>
    </cfRule>
    <cfRule type="cellIs" dxfId="721" priority="9" operator="equal">
      <formula>"HALF DAY"</formula>
    </cfRule>
    <cfRule type="cellIs" dxfId="720" priority="10" operator="equal">
      <formula>"ABSENT"</formula>
    </cfRule>
    <cfRule type="cellIs" dxfId="719" priority="12" operator="equal">
      <formula>"ABSENT"</formula>
    </cfRule>
  </conditionalFormatting>
  <conditionalFormatting sqref="J3:J14">
    <cfRule type="cellIs" dxfId="718" priority="11" operator="equal">
      <formula>"UNDERTIME"</formula>
    </cfRule>
  </conditionalFormatting>
  <conditionalFormatting sqref="J3:J18">
    <cfRule type="cellIs" dxfId="717" priority="5" operator="equal">
      <formula>"UNDERTIME"</formula>
    </cfRule>
  </conditionalFormatting>
  <conditionalFormatting sqref="J5:J1048576">
    <cfRule type="cellIs" dxfId="716" priority="14" operator="equal">
      <formula>"OB"</formula>
    </cfRule>
  </conditionalFormatting>
  <conditionalFormatting sqref="J6">
    <cfRule type="cellIs" dxfId="715" priority="4" operator="equal">
      <formula>"OB"</formula>
    </cfRule>
  </conditionalFormatting>
  <conditionalFormatting sqref="J7">
    <cfRule type="cellIs" dxfId="714" priority="15" operator="equal">
      <formula>"OB"</formula>
    </cfRule>
  </conditionalFormatting>
  <conditionalFormatting sqref="J13">
    <cfRule type="cellIs" dxfId="713" priority="13" operator="equal">
      <formula>"OB"</formula>
    </cfRule>
  </conditionalFormatting>
  <conditionalFormatting sqref="J14">
    <cfRule type="cellIs" dxfId="712" priority="3" operator="equal">
      <formula>"OB"</formula>
    </cfRule>
    <cfRule type="cellIs" dxfId="711" priority="18" operator="equal">
      <formula>"OB"</formula>
    </cfRule>
  </conditionalFormatting>
  <conditionalFormatting sqref="J14:J1048576">
    <cfRule type="cellIs" dxfId="710" priority="19" operator="equal">
      <formula>"OB"</formula>
    </cfRule>
  </conditionalFormatting>
  <conditionalFormatting sqref="J17:J18">
    <cfRule type="cellIs" dxfId="709" priority="20" operator="equal">
      <formula>"OB"</formula>
    </cfRule>
  </conditionalFormatting>
  <conditionalFormatting sqref="K6:K8">
    <cfRule type="containsText" dxfId="708" priority="43" operator="containsText" text="SUNDAY">
      <formula>NOT(ISERROR(SEARCH("SUNDAY",K6)))</formula>
    </cfRule>
    <cfRule type="containsText" dxfId="707" priority="44" operator="containsText" text="HOLIDAY">
      <formula>NOT(ISERROR(SEARCH("HOLIDAY",K6)))</formula>
    </cfRule>
  </conditionalFormatting>
  <conditionalFormatting sqref="K9">
    <cfRule type="containsText" dxfId="706" priority="45" operator="containsText" text="SUNDAY">
      <formula>NOT(ISERROR(SEARCH("SUNDAY",K9)))</formula>
    </cfRule>
    <cfRule type="containsText" dxfId="705" priority="46" operator="containsText" text="HOLIDAY">
      <formula>NOT(ISERROR(SEARCH("HOLIDAY",K9)))</formula>
    </cfRule>
  </conditionalFormatting>
  <conditionalFormatting sqref="L5:L9">
    <cfRule type="containsText" dxfId="704" priority="41" operator="containsText" text="SUNDAY">
      <formula>NOT(ISERROR(SEARCH("SUNDAY",L5)))</formula>
    </cfRule>
    <cfRule type="containsText" dxfId="703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E666-B9AB-4EC3-B916-DB96FFB58F4C}">
  <dimension ref="A1:L26"/>
  <sheetViews>
    <sheetView zoomScaleNormal="100" zoomScaleSheetLayoutView="93" workbookViewId="0">
      <selection activeCell="L7" sqref="L7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85</v>
      </c>
      <c r="B3" s="7" t="s">
        <v>86</v>
      </c>
      <c r="C3" s="2"/>
      <c r="D3" s="2"/>
      <c r="E3" s="33">
        <v>46064</v>
      </c>
      <c r="F3" s="27"/>
      <c r="G3" s="27"/>
      <c r="H3" s="27"/>
      <c r="I3" s="27"/>
      <c r="J3" s="8" t="s">
        <v>156</v>
      </c>
    </row>
    <row r="4" spans="1:12" x14ac:dyDescent="0.25">
      <c r="A4" s="6" t="s">
        <v>85</v>
      </c>
      <c r="B4" s="7" t="s">
        <v>86</v>
      </c>
      <c r="C4" s="2" t="s">
        <v>483</v>
      </c>
      <c r="D4" s="2" t="s">
        <v>484</v>
      </c>
      <c r="E4" s="33">
        <v>46065</v>
      </c>
      <c r="F4" s="27">
        <f t="shared" ref="F4:F6" si="0">C4-E4</f>
        <v>0.31851851852115942</v>
      </c>
      <c r="G4" s="27"/>
      <c r="H4" s="27"/>
      <c r="I4" s="27">
        <f t="shared" ref="I4:I13" si="1">D4-E4</f>
        <v>0.70918981481372612</v>
      </c>
      <c r="J4" s="8"/>
    </row>
    <row r="5" spans="1:12" x14ac:dyDescent="0.25">
      <c r="A5" s="6" t="s">
        <v>85</v>
      </c>
      <c r="B5" s="7" t="s">
        <v>86</v>
      </c>
      <c r="C5" s="2" t="s">
        <v>485</v>
      </c>
      <c r="D5" s="2" t="s">
        <v>486</v>
      </c>
      <c r="E5" s="33">
        <v>46066</v>
      </c>
      <c r="F5" s="27">
        <f t="shared" si="0"/>
        <v>0.31417824074014788</v>
      </c>
      <c r="G5" s="27"/>
      <c r="H5" s="27"/>
      <c r="I5" s="27">
        <f t="shared" si="1"/>
        <v>0.70899305555212777</v>
      </c>
      <c r="J5" s="8"/>
      <c r="K5" s="3" t="s">
        <v>6</v>
      </c>
      <c r="L5" s="4">
        <v>0</v>
      </c>
    </row>
    <row r="6" spans="1:12" x14ac:dyDescent="0.25">
      <c r="A6" s="6" t="s">
        <v>85</v>
      </c>
      <c r="B6" s="7" t="s">
        <v>86</v>
      </c>
      <c r="C6" s="2" t="s">
        <v>487</v>
      </c>
      <c r="D6" s="2" t="s">
        <v>488</v>
      </c>
      <c r="E6" s="33">
        <v>46067</v>
      </c>
      <c r="F6" s="27">
        <f t="shared" si="0"/>
        <v>0.31888888889079681</v>
      </c>
      <c r="G6" s="27"/>
      <c r="H6" s="27"/>
      <c r="I6" s="27">
        <f t="shared" si="1"/>
        <v>0.70869212962861639</v>
      </c>
      <c r="J6" s="8"/>
      <c r="K6" s="3" t="s">
        <v>7</v>
      </c>
      <c r="L6" s="4">
        <v>2</v>
      </c>
    </row>
    <row r="7" spans="1:12" x14ac:dyDescent="0.25">
      <c r="A7" s="6" t="s">
        <v>85</v>
      </c>
      <c r="B7" s="7" t="s">
        <v>86</v>
      </c>
      <c r="C7" s="2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16</v>
      </c>
    </row>
    <row r="8" spans="1:12" x14ac:dyDescent="0.25">
      <c r="A8" s="6" t="s">
        <v>85</v>
      </c>
      <c r="B8" s="7" t="s">
        <v>86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85</v>
      </c>
      <c r="B9" s="7" t="s">
        <v>86</v>
      </c>
      <c r="C9" s="2" t="s">
        <v>489</v>
      </c>
      <c r="D9" s="2" t="s">
        <v>490</v>
      </c>
      <c r="E9" s="33">
        <v>46070</v>
      </c>
      <c r="F9" s="27">
        <f t="shared" ref="F9:F13" si="2">C9-E9</f>
        <v>0.32503472222015262</v>
      </c>
      <c r="G9" s="27"/>
      <c r="H9" s="27"/>
      <c r="I9" s="27">
        <f t="shared" si="1"/>
        <v>0.70853009259008104</v>
      </c>
      <c r="J9" s="8"/>
      <c r="K9" s="3" t="s">
        <v>10</v>
      </c>
      <c r="L9" s="4">
        <v>0</v>
      </c>
    </row>
    <row r="10" spans="1:12" x14ac:dyDescent="0.25">
      <c r="A10" s="6" t="s">
        <v>85</v>
      </c>
      <c r="B10" s="7" t="s">
        <v>86</v>
      </c>
      <c r="C10" s="2" t="s">
        <v>491</v>
      </c>
      <c r="D10" s="2" t="s">
        <v>492</v>
      </c>
      <c r="E10" s="33">
        <v>46071</v>
      </c>
      <c r="F10" s="27">
        <f t="shared" si="2"/>
        <v>0.31673611111182254</v>
      </c>
      <c r="G10" s="27"/>
      <c r="H10" s="27"/>
      <c r="I10" s="27">
        <f t="shared" si="1"/>
        <v>0.70883101852086838</v>
      </c>
      <c r="J10" s="8"/>
    </row>
    <row r="11" spans="1:12" x14ac:dyDescent="0.25">
      <c r="A11" s="6" t="s">
        <v>85</v>
      </c>
      <c r="B11" s="7" t="s">
        <v>86</v>
      </c>
      <c r="C11" s="2" t="s">
        <v>493</v>
      </c>
      <c r="D11" s="2" t="s">
        <v>494</v>
      </c>
      <c r="E11" s="33">
        <v>46072</v>
      </c>
      <c r="F11" s="48">
        <f t="shared" si="2"/>
        <v>0.34497685185488081</v>
      </c>
      <c r="G11" s="27"/>
      <c r="H11" s="27"/>
      <c r="I11" s="27">
        <f t="shared" si="1"/>
        <v>0.70886574074393138</v>
      </c>
      <c r="J11" s="8"/>
    </row>
    <row r="12" spans="1:12" x14ac:dyDescent="0.25">
      <c r="A12" s="6" t="s">
        <v>85</v>
      </c>
      <c r="B12" s="7" t="s">
        <v>86</v>
      </c>
      <c r="C12" s="2" t="s">
        <v>495</v>
      </c>
      <c r="D12" s="2" t="s">
        <v>496</v>
      </c>
      <c r="E12" s="33">
        <v>46073</v>
      </c>
      <c r="F12" s="27">
        <f t="shared" si="2"/>
        <v>0.32255787037138361</v>
      </c>
      <c r="G12" s="27"/>
      <c r="H12" s="27"/>
      <c r="I12" s="27">
        <f t="shared" si="1"/>
        <v>0.70877314815152204</v>
      </c>
      <c r="J12" s="8"/>
    </row>
    <row r="13" spans="1:12" x14ac:dyDescent="0.25">
      <c r="A13" s="6" t="s">
        <v>85</v>
      </c>
      <c r="B13" s="7" t="s">
        <v>86</v>
      </c>
      <c r="C13" s="2" t="s">
        <v>497</v>
      </c>
      <c r="D13" s="2" t="s">
        <v>498</v>
      </c>
      <c r="E13" s="33">
        <v>46074</v>
      </c>
      <c r="F13" s="27">
        <f t="shared" si="2"/>
        <v>0.31706018518161727</v>
      </c>
      <c r="G13" s="27"/>
      <c r="H13" s="27"/>
      <c r="I13" s="27">
        <f t="shared" si="1"/>
        <v>0.70895833333634073</v>
      </c>
      <c r="J13" s="8"/>
    </row>
    <row r="14" spans="1:12" x14ac:dyDescent="0.25">
      <c r="A14" s="6" t="s">
        <v>85</v>
      </c>
      <c r="B14" s="7" t="s">
        <v>86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85</v>
      </c>
      <c r="B15" s="7" t="s">
        <v>86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85</v>
      </c>
      <c r="B16" s="7" t="s">
        <v>86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85</v>
      </c>
      <c r="B17" s="7" t="s">
        <v>86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85</v>
      </c>
      <c r="B18" s="7" t="s">
        <v>86</v>
      </c>
      <c r="C18" s="28"/>
      <c r="D18" s="28"/>
      <c r="E18" s="33"/>
      <c r="F18" s="27"/>
      <c r="G18" s="29"/>
      <c r="H18" s="29"/>
      <c r="I18" s="27"/>
      <c r="J18" s="8"/>
    </row>
    <row r="19" spans="1:10" ht="15" customHeight="1" x14ac:dyDescent="0.25">
      <c r="A19" s="6"/>
      <c r="B19" s="7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702" priority="25" operator="equal">
      <formula>"UNDERTIME"</formula>
    </cfRule>
  </conditionalFormatting>
  <conditionalFormatting sqref="F3:H18">
    <cfRule type="cellIs" dxfId="701" priority="1" operator="equal">
      <formula>"UNDERTIME"</formula>
    </cfRule>
  </conditionalFormatting>
  <conditionalFormatting sqref="F1:J2 F19:J1048576">
    <cfRule type="cellIs" dxfId="700" priority="16" operator="equal">
      <formula>"UNDERTIME"</formula>
    </cfRule>
  </conditionalFormatting>
  <conditionalFormatting sqref="J1:J2 J14:J1048576">
    <cfRule type="cellIs" dxfId="699" priority="17" operator="equal">
      <formula>"UNDERTIME"</formula>
    </cfRule>
  </conditionalFormatting>
  <conditionalFormatting sqref="J1:J14">
    <cfRule type="cellIs" dxfId="698" priority="7" operator="equal">
      <formula>"OB"</formula>
    </cfRule>
  </conditionalFormatting>
  <conditionalFormatting sqref="J1:J1048576">
    <cfRule type="cellIs" dxfId="697" priority="6" operator="equal">
      <formula>"HOLIDAY"</formula>
    </cfRule>
    <cfRule type="cellIs" dxfId="696" priority="8" operator="equal">
      <formula>"RESTDAY"</formula>
    </cfRule>
    <cfRule type="cellIs" dxfId="695" priority="9" operator="equal">
      <formula>"HALF DAY"</formula>
    </cfRule>
    <cfRule type="cellIs" dxfId="694" priority="10" operator="equal">
      <formula>"ABSENT"</formula>
    </cfRule>
    <cfRule type="cellIs" dxfId="693" priority="12" operator="equal">
      <formula>"ABSENT"</formula>
    </cfRule>
  </conditionalFormatting>
  <conditionalFormatting sqref="J3:J14">
    <cfRule type="cellIs" dxfId="692" priority="11" operator="equal">
      <formula>"UNDERTIME"</formula>
    </cfRule>
  </conditionalFormatting>
  <conditionalFormatting sqref="J3:J18">
    <cfRule type="cellIs" dxfId="691" priority="5" operator="equal">
      <formula>"UNDERTIME"</formula>
    </cfRule>
  </conditionalFormatting>
  <conditionalFormatting sqref="J5:J1048576">
    <cfRule type="cellIs" dxfId="690" priority="14" operator="equal">
      <formula>"OB"</formula>
    </cfRule>
  </conditionalFormatting>
  <conditionalFormatting sqref="J6">
    <cfRule type="cellIs" dxfId="689" priority="4" operator="equal">
      <formula>"OB"</formula>
    </cfRule>
  </conditionalFormatting>
  <conditionalFormatting sqref="J7">
    <cfRule type="cellIs" dxfId="688" priority="15" operator="equal">
      <formula>"OB"</formula>
    </cfRule>
  </conditionalFormatting>
  <conditionalFormatting sqref="J13">
    <cfRule type="cellIs" dxfId="687" priority="13" operator="equal">
      <formula>"OB"</formula>
    </cfRule>
  </conditionalFormatting>
  <conditionalFormatting sqref="J14">
    <cfRule type="cellIs" dxfId="686" priority="3" operator="equal">
      <formula>"OB"</formula>
    </cfRule>
    <cfRule type="cellIs" dxfId="685" priority="18" operator="equal">
      <formula>"OB"</formula>
    </cfRule>
  </conditionalFormatting>
  <conditionalFormatting sqref="J14:J1048576">
    <cfRule type="cellIs" dxfId="684" priority="19" operator="equal">
      <formula>"OB"</formula>
    </cfRule>
  </conditionalFormatting>
  <conditionalFormatting sqref="J17:J18">
    <cfRule type="cellIs" dxfId="683" priority="20" operator="equal">
      <formula>"OB"</formula>
    </cfRule>
  </conditionalFormatting>
  <conditionalFormatting sqref="K6:K8">
    <cfRule type="containsText" dxfId="682" priority="43" operator="containsText" text="SUNDAY">
      <formula>NOT(ISERROR(SEARCH("SUNDAY",K6)))</formula>
    </cfRule>
    <cfRule type="containsText" dxfId="681" priority="44" operator="containsText" text="HOLIDAY">
      <formula>NOT(ISERROR(SEARCH("HOLIDAY",K6)))</formula>
    </cfRule>
  </conditionalFormatting>
  <conditionalFormatting sqref="K9">
    <cfRule type="containsText" dxfId="680" priority="45" operator="containsText" text="SUNDAY">
      <formula>NOT(ISERROR(SEARCH("SUNDAY",K9)))</formula>
    </cfRule>
    <cfRule type="containsText" dxfId="679" priority="46" operator="containsText" text="HOLIDAY">
      <formula>NOT(ISERROR(SEARCH("HOLIDAY",K9)))</formula>
    </cfRule>
  </conditionalFormatting>
  <conditionalFormatting sqref="L5:L9">
    <cfRule type="containsText" dxfId="678" priority="41" operator="containsText" text="SUNDAY">
      <formula>NOT(ISERROR(SEARCH("SUNDAY",L5)))</formula>
    </cfRule>
    <cfRule type="containsText" dxfId="677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903C-BC57-44D7-87D9-0DFBCC2ED301}">
  <dimension ref="A1:L26"/>
  <sheetViews>
    <sheetView zoomScaleNormal="100" zoomScaleSheetLayoutView="93" workbookViewId="0">
      <selection activeCell="L7" sqref="L7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40</v>
      </c>
      <c r="B3" s="7" t="s">
        <v>41</v>
      </c>
      <c r="C3" s="2" t="s">
        <v>499</v>
      </c>
      <c r="D3" s="2" t="s">
        <v>500</v>
      </c>
      <c r="E3" s="33">
        <v>46064</v>
      </c>
      <c r="F3" s="27">
        <f>C3-E3</f>
        <v>0.31193287036876427</v>
      </c>
      <c r="G3" s="27"/>
      <c r="H3" s="27"/>
      <c r="I3" s="27">
        <f t="shared" ref="I3:I13" si="0">D3-E3</f>
        <v>0.74584490740380716</v>
      </c>
      <c r="J3" s="8"/>
    </row>
    <row r="4" spans="1:12" x14ac:dyDescent="0.25">
      <c r="A4" s="6" t="s">
        <v>40</v>
      </c>
      <c r="B4" s="7" t="s">
        <v>41</v>
      </c>
      <c r="C4" s="2" t="s">
        <v>501</v>
      </c>
      <c r="D4" s="2" t="s">
        <v>502</v>
      </c>
      <c r="E4" s="33">
        <v>46065</v>
      </c>
      <c r="F4" s="48">
        <f t="shared" ref="F4:F5" si="1">C4-E4</f>
        <v>0.33787037037109258</v>
      </c>
      <c r="G4" s="27"/>
      <c r="H4" s="27"/>
      <c r="I4" s="27">
        <f t="shared" si="0"/>
        <v>0.74686342592758592</v>
      </c>
      <c r="J4" s="8"/>
    </row>
    <row r="5" spans="1:12" x14ac:dyDescent="0.25">
      <c r="A5" s="6" t="s">
        <v>40</v>
      </c>
      <c r="B5" s="7" t="s">
        <v>41</v>
      </c>
      <c r="C5" s="2" t="s">
        <v>503</v>
      </c>
      <c r="D5" s="2" t="s">
        <v>504</v>
      </c>
      <c r="E5" s="33">
        <v>46066</v>
      </c>
      <c r="F5" s="27">
        <f t="shared" si="1"/>
        <v>0.31219907407648861</v>
      </c>
      <c r="G5" s="27"/>
      <c r="H5" s="27"/>
      <c r="I5" s="27">
        <f t="shared" si="0"/>
        <v>0.742083333330811</v>
      </c>
      <c r="J5" s="8"/>
      <c r="K5" s="3" t="s">
        <v>6</v>
      </c>
      <c r="L5" s="4">
        <v>0</v>
      </c>
    </row>
    <row r="6" spans="1:12" x14ac:dyDescent="0.25">
      <c r="A6" s="6" t="s">
        <v>40</v>
      </c>
      <c r="B6" s="7" t="s">
        <v>41</v>
      </c>
      <c r="C6" s="2"/>
      <c r="D6" s="2" t="s">
        <v>505</v>
      </c>
      <c r="E6" s="33">
        <v>46067</v>
      </c>
      <c r="F6" s="27">
        <v>0.3298611111111111</v>
      </c>
      <c r="G6" s="27"/>
      <c r="H6" s="27"/>
      <c r="I6" s="27">
        <f t="shared" si="0"/>
        <v>0.72289351851941319</v>
      </c>
      <c r="J6" s="8"/>
      <c r="K6" s="3" t="s">
        <v>7</v>
      </c>
      <c r="L6" s="4">
        <v>0</v>
      </c>
    </row>
    <row r="7" spans="1:12" x14ac:dyDescent="0.25">
      <c r="A7" s="6" t="s">
        <v>40</v>
      </c>
      <c r="B7" s="7" t="s">
        <v>41</v>
      </c>
      <c r="C7" s="2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6</v>
      </c>
    </row>
    <row r="8" spans="1:12" x14ac:dyDescent="0.25">
      <c r="A8" s="6" t="s">
        <v>40</v>
      </c>
      <c r="B8" s="7" t="s">
        <v>41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40</v>
      </c>
      <c r="B9" s="7" t="s">
        <v>41</v>
      </c>
      <c r="C9" s="2" t="s">
        <v>506</v>
      </c>
      <c r="D9" s="2" t="s">
        <v>507</v>
      </c>
      <c r="E9" s="33">
        <v>46070</v>
      </c>
      <c r="F9" s="27">
        <f t="shared" ref="F9:F13" si="2">C9-E9</f>
        <v>0.32888888888555812</v>
      </c>
      <c r="G9" s="27"/>
      <c r="H9" s="27"/>
      <c r="I9" s="27">
        <f t="shared" si="0"/>
        <v>0.72373842592787696</v>
      </c>
      <c r="J9" s="8"/>
      <c r="K9" s="3" t="s">
        <v>10</v>
      </c>
      <c r="L9" s="4">
        <v>0</v>
      </c>
    </row>
    <row r="10" spans="1:12" x14ac:dyDescent="0.25">
      <c r="A10" s="6" t="s">
        <v>40</v>
      </c>
      <c r="B10" s="7" t="s">
        <v>41</v>
      </c>
      <c r="C10" s="2" t="s">
        <v>508</v>
      </c>
      <c r="D10" s="2" t="s">
        <v>509</v>
      </c>
      <c r="E10" s="33">
        <v>46071</v>
      </c>
      <c r="F10" s="27">
        <f t="shared" si="2"/>
        <v>0.32193287037080154</v>
      </c>
      <c r="G10" s="27"/>
      <c r="H10" s="27"/>
      <c r="I10" s="27">
        <f t="shared" si="0"/>
        <v>0.73762731481838273</v>
      </c>
      <c r="J10" s="8"/>
    </row>
    <row r="11" spans="1:12" x14ac:dyDescent="0.25">
      <c r="A11" s="6" t="s">
        <v>40</v>
      </c>
      <c r="B11" s="7" t="s">
        <v>41</v>
      </c>
      <c r="C11" s="2" t="s">
        <v>510</v>
      </c>
      <c r="D11" s="2" t="s">
        <v>511</v>
      </c>
      <c r="E11" s="33">
        <v>46072</v>
      </c>
      <c r="F11" s="27">
        <f t="shared" si="2"/>
        <v>0.320208333330811</v>
      </c>
      <c r="G11" s="27"/>
      <c r="H11" s="27"/>
      <c r="I11" s="27">
        <f t="shared" si="0"/>
        <v>0.70836805555882165</v>
      </c>
      <c r="J11" s="8"/>
    </row>
    <row r="12" spans="1:12" x14ac:dyDescent="0.25">
      <c r="A12" s="6" t="s">
        <v>40</v>
      </c>
      <c r="B12" s="7" t="s">
        <v>41</v>
      </c>
      <c r="C12" s="2" t="s">
        <v>512</v>
      </c>
      <c r="D12" s="2" t="s">
        <v>513</v>
      </c>
      <c r="E12" s="33">
        <v>46073</v>
      </c>
      <c r="F12" s="27">
        <f t="shared" si="2"/>
        <v>0.30811342592642177</v>
      </c>
      <c r="G12" s="27"/>
      <c r="H12" s="27"/>
      <c r="I12" s="27">
        <f t="shared" si="0"/>
        <v>0.763043981482042</v>
      </c>
      <c r="J12" s="8"/>
    </row>
    <row r="13" spans="1:12" x14ac:dyDescent="0.25">
      <c r="A13" s="6" t="s">
        <v>40</v>
      </c>
      <c r="B13" s="7" t="s">
        <v>41</v>
      </c>
      <c r="C13" s="2" t="s">
        <v>514</v>
      </c>
      <c r="D13" s="2" t="s">
        <v>515</v>
      </c>
      <c r="E13" s="33">
        <v>46074</v>
      </c>
      <c r="F13" s="27">
        <f t="shared" si="2"/>
        <v>0.32761574073811062</v>
      </c>
      <c r="G13" s="27"/>
      <c r="H13" s="27"/>
      <c r="I13" s="27">
        <f t="shared" si="0"/>
        <v>0.74615740740409819</v>
      </c>
      <c r="J13" s="8"/>
    </row>
    <row r="14" spans="1:12" x14ac:dyDescent="0.25">
      <c r="A14" s="6" t="s">
        <v>40</v>
      </c>
      <c r="B14" s="7" t="s">
        <v>41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40</v>
      </c>
      <c r="B15" s="7" t="s">
        <v>41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40</v>
      </c>
      <c r="B16" s="7" t="s">
        <v>41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40</v>
      </c>
      <c r="B17" s="7" t="s">
        <v>41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40</v>
      </c>
      <c r="B18" s="7" t="s">
        <v>41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A19" s="6"/>
      <c r="B19" s="7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phoneticPr fontId="2" type="noConversion"/>
  <conditionalFormatting sqref="C1:E1048576 K1:L1048576">
    <cfRule type="cellIs" dxfId="676" priority="25" operator="equal">
      <formula>"UNDERTIME"</formula>
    </cfRule>
  </conditionalFormatting>
  <conditionalFormatting sqref="F3:H18">
    <cfRule type="cellIs" dxfId="675" priority="1" operator="equal">
      <formula>"UNDERTIME"</formula>
    </cfRule>
  </conditionalFormatting>
  <conditionalFormatting sqref="F1:J2 F19:J1048576">
    <cfRule type="cellIs" dxfId="674" priority="16" operator="equal">
      <formula>"UNDERTIME"</formula>
    </cfRule>
  </conditionalFormatting>
  <conditionalFormatting sqref="J1:J2 J14:J1048576">
    <cfRule type="cellIs" dxfId="673" priority="17" operator="equal">
      <formula>"UNDERTIME"</formula>
    </cfRule>
  </conditionalFormatting>
  <conditionalFormatting sqref="J1:J14">
    <cfRule type="cellIs" dxfId="672" priority="7" operator="equal">
      <formula>"OB"</formula>
    </cfRule>
  </conditionalFormatting>
  <conditionalFormatting sqref="J1:J1048576">
    <cfRule type="cellIs" dxfId="671" priority="6" operator="equal">
      <formula>"HOLIDAY"</formula>
    </cfRule>
    <cfRule type="cellIs" dxfId="670" priority="8" operator="equal">
      <formula>"RESTDAY"</formula>
    </cfRule>
    <cfRule type="cellIs" dxfId="669" priority="9" operator="equal">
      <formula>"HALF DAY"</formula>
    </cfRule>
    <cfRule type="cellIs" dxfId="668" priority="10" operator="equal">
      <formula>"ABSENT"</formula>
    </cfRule>
    <cfRule type="cellIs" dxfId="667" priority="12" operator="equal">
      <formula>"ABSENT"</formula>
    </cfRule>
  </conditionalFormatting>
  <conditionalFormatting sqref="J3:J14">
    <cfRule type="cellIs" dxfId="666" priority="11" operator="equal">
      <formula>"UNDERTIME"</formula>
    </cfRule>
  </conditionalFormatting>
  <conditionalFormatting sqref="J3:J18">
    <cfRule type="cellIs" dxfId="665" priority="5" operator="equal">
      <formula>"UNDERTIME"</formula>
    </cfRule>
  </conditionalFormatting>
  <conditionalFormatting sqref="J5:J1048576">
    <cfRule type="cellIs" dxfId="664" priority="14" operator="equal">
      <formula>"OB"</formula>
    </cfRule>
  </conditionalFormatting>
  <conditionalFormatting sqref="J6">
    <cfRule type="cellIs" dxfId="663" priority="4" operator="equal">
      <formula>"OB"</formula>
    </cfRule>
  </conditionalFormatting>
  <conditionalFormatting sqref="J7">
    <cfRule type="cellIs" dxfId="662" priority="15" operator="equal">
      <formula>"OB"</formula>
    </cfRule>
  </conditionalFormatting>
  <conditionalFormatting sqref="J13">
    <cfRule type="cellIs" dxfId="661" priority="13" operator="equal">
      <formula>"OB"</formula>
    </cfRule>
  </conditionalFormatting>
  <conditionalFormatting sqref="J14">
    <cfRule type="cellIs" dxfId="660" priority="3" operator="equal">
      <formula>"OB"</formula>
    </cfRule>
    <cfRule type="cellIs" dxfId="659" priority="18" operator="equal">
      <formula>"OB"</formula>
    </cfRule>
  </conditionalFormatting>
  <conditionalFormatting sqref="J14:J1048576">
    <cfRule type="cellIs" dxfId="658" priority="19" operator="equal">
      <formula>"OB"</formula>
    </cfRule>
  </conditionalFormatting>
  <conditionalFormatting sqref="J17:J18">
    <cfRule type="cellIs" dxfId="657" priority="20" operator="equal">
      <formula>"OB"</formula>
    </cfRule>
  </conditionalFormatting>
  <conditionalFormatting sqref="K6:K8">
    <cfRule type="containsText" dxfId="656" priority="43" operator="containsText" text="SUNDAY">
      <formula>NOT(ISERROR(SEARCH("SUNDAY",K6)))</formula>
    </cfRule>
    <cfRule type="containsText" dxfId="655" priority="44" operator="containsText" text="HOLIDAY">
      <formula>NOT(ISERROR(SEARCH("HOLIDAY",K6)))</formula>
    </cfRule>
  </conditionalFormatting>
  <conditionalFormatting sqref="K9">
    <cfRule type="containsText" dxfId="654" priority="45" operator="containsText" text="SUNDAY">
      <formula>NOT(ISERROR(SEARCH("SUNDAY",K9)))</formula>
    </cfRule>
    <cfRule type="containsText" dxfId="653" priority="46" operator="containsText" text="HOLIDAY">
      <formula>NOT(ISERROR(SEARCH("HOLIDAY",K9)))</formula>
    </cfRule>
  </conditionalFormatting>
  <conditionalFormatting sqref="L5:L9">
    <cfRule type="containsText" dxfId="652" priority="41" operator="containsText" text="SUNDAY">
      <formula>NOT(ISERROR(SEARCH("SUNDAY",L5)))</formula>
    </cfRule>
    <cfRule type="containsText" dxfId="651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844A-A694-4A74-B53D-3C8131C6E7A3}">
  <dimension ref="A1:L26"/>
  <sheetViews>
    <sheetView zoomScaleNormal="100" zoomScaleSheetLayoutView="93" workbookViewId="0">
      <selection activeCell="D1" sqref="C1:D1048576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42</v>
      </c>
      <c r="B3" s="7" t="s">
        <v>43</v>
      </c>
      <c r="C3" s="2" t="s">
        <v>516</v>
      </c>
      <c r="D3" s="2" t="s">
        <v>517</v>
      </c>
      <c r="E3" s="33">
        <v>46064</v>
      </c>
      <c r="F3" s="27">
        <f>C3-E3</f>
        <v>0.32726851852203254</v>
      </c>
      <c r="G3" s="27"/>
      <c r="H3" s="27"/>
      <c r="I3" s="27">
        <f t="shared" ref="I3:I13" si="0">D3-E3</f>
        <v>0.7096296296294895</v>
      </c>
      <c r="J3" s="8"/>
    </row>
    <row r="4" spans="1:12" x14ac:dyDescent="0.25">
      <c r="A4" s="6" t="s">
        <v>42</v>
      </c>
      <c r="B4" s="7" t="s">
        <v>43</v>
      </c>
      <c r="C4" s="2" t="s">
        <v>518</v>
      </c>
      <c r="D4" s="2" t="s">
        <v>519</v>
      </c>
      <c r="E4" s="33">
        <v>46065</v>
      </c>
      <c r="F4" s="27">
        <f t="shared" ref="F4:F6" si="1">C4-E4</f>
        <v>0.32958333333226619</v>
      </c>
      <c r="G4" s="27"/>
      <c r="H4" s="27"/>
      <c r="I4" s="27">
        <f t="shared" si="0"/>
        <v>0.70998842592234723</v>
      </c>
      <c r="J4" s="8"/>
    </row>
    <row r="5" spans="1:12" x14ac:dyDescent="0.25">
      <c r="A5" s="6" t="s">
        <v>42</v>
      </c>
      <c r="B5" s="7" t="s">
        <v>43</v>
      </c>
      <c r="C5" s="2" t="s">
        <v>520</v>
      </c>
      <c r="D5" s="2" t="s">
        <v>521</v>
      </c>
      <c r="E5" s="33">
        <v>46066</v>
      </c>
      <c r="F5" s="27">
        <f t="shared" si="1"/>
        <v>0.32461805555794854</v>
      </c>
      <c r="G5" s="27"/>
      <c r="H5" s="27"/>
      <c r="I5" s="27">
        <f t="shared" si="0"/>
        <v>0.71021990740700858</v>
      </c>
      <c r="J5" s="8"/>
      <c r="K5" s="3" t="s">
        <v>6</v>
      </c>
      <c r="L5" s="4">
        <v>0</v>
      </c>
    </row>
    <row r="6" spans="1:12" x14ac:dyDescent="0.25">
      <c r="A6" s="6" t="s">
        <v>42</v>
      </c>
      <c r="B6" s="7" t="s">
        <v>43</v>
      </c>
      <c r="C6" s="2" t="s">
        <v>522</v>
      </c>
      <c r="D6" s="2" t="s">
        <v>523</v>
      </c>
      <c r="E6" s="33">
        <v>46067</v>
      </c>
      <c r="F6" s="27">
        <f t="shared" si="1"/>
        <v>0.32436342592700385</v>
      </c>
      <c r="G6" s="27"/>
      <c r="H6" s="27"/>
      <c r="I6" s="27">
        <f t="shared" si="0"/>
        <v>0.70957175926014315</v>
      </c>
      <c r="J6" s="8"/>
      <c r="K6" s="3" t="s">
        <v>7</v>
      </c>
      <c r="L6" s="4">
        <v>0</v>
      </c>
    </row>
    <row r="7" spans="1:12" x14ac:dyDescent="0.25">
      <c r="A7" s="6" t="s">
        <v>42</v>
      </c>
      <c r="B7" s="7" t="s">
        <v>43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42</v>
      </c>
      <c r="B8" s="7" t="s">
        <v>43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42</v>
      </c>
      <c r="B9" s="7" t="s">
        <v>43</v>
      </c>
      <c r="C9" s="2" t="s">
        <v>524</v>
      </c>
      <c r="D9" s="2" t="s">
        <v>525</v>
      </c>
      <c r="E9" s="33">
        <v>46070</v>
      </c>
      <c r="F9" s="27">
        <f t="shared" ref="F9:F13" si="2">C9-E9</f>
        <v>0.32478009258920792</v>
      </c>
      <c r="G9" s="27"/>
      <c r="H9" s="27"/>
      <c r="I9" s="27">
        <f t="shared" si="0"/>
        <v>0.71030092592263827</v>
      </c>
      <c r="J9" s="8"/>
      <c r="K9" s="3" t="s">
        <v>10</v>
      </c>
      <c r="L9" s="4">
        <v>0</v>
      </c>
    </row>
    <row r="10" spans="1:12" x14ac:dyDescent="0.25">
      <c r="A10" s="6" t="s">
        <v>42</v>
      </c>
      <c r="B10" s="7" t="s">
        <v>43</v>
      </c>
      <c r="C10" s="2" t="s">
        <v>526</v>
      </c>
      <c r="D10" s="2" t="s">
        <v>527</v>
      </c>
      <c r="E10" s="33">
        <v>46071</v>
      </c>
      <c r="F10" s="27">
        <f t="shared" si="2"/>
        <v>0.32643518518307246</v>
      </c>
      <c r="G10" s="27"/>
      <c r="H10" s="27"/>
      <c r="I10" s="27">
        <f t="shared" si="0"/>
        <v>0.70964120370626915</v>
      </c>
      <c r="J10" s="8"/>
    </row>
    <row r="11" spans="1:12" x14ac:dyDescent="0.25">
      <c r="A11" s="6" t="s">
        <v>42</v>
      </c>
      <c r="B11" s="7" t="s">
        <v>43</v>
      </c>
      <c r="C11" s="2" t="s">
        <v>528</v>
      </c>
      <c r="D11" s="2" t="s">
        <v>529</v>
      </c>
      <c r="E11" s="33">
        <v>46072</v>
      </c>
      <c r="F11" s="27">
        <f t="shared" si="2"/>
        <v>0.32260416666395031</v>
      </c>
      <c r="G11" s="27"/>
      <c r="H11" s="27"/>
      <c r="I11" s="27">
        <f t="shared" si="0"/>
        <v>0.70954861111385981</v>
      </c>
      <c r="J11" s="8"/>
    </row>
    <row r="12" spans="1:12" x14ac:dyDescent="0.25">
      <c r="A12" s="6" t="s">
        <v>42</v>
      </c>
      <c r="B12" s="7" t="s">
        <v>43</v>
      </c>
      <c r="C12" s="2" t="s">
        <v>530</v>
      </c>
      <c r="D12" s="2" t="s">
        <v>531</v>
      </c>
      <c r="E12" s="33">
        <v>46073</v>
      </c>
      <c r="F12" s="27">
        <f t="shared" si="2"/>
        <v>0.32517361111240461</v>
      </c>
      <c r="G12" s="27"/>
      <c r="H12" s="27"/>
      <c r="I12" s="27">
        <f t="shared" si="0"/>
        <v>0.71638888888992369</v>
      </c>
      <c r="J12" s="8"/>
    </row>
    <row r="13" spans="1:12" x14ac:dyDescent="0.25">
      <c r="A13" s="6" t="s">
        <v>42</v>
      </c>
      <c r="B13" s="7" t="s">
        <v>43</v>
      </c>
      <c r="C13" s="2" t="s">
        <v>532</v>
      </c>
      <c r="D13" s="2" t="s">
        <v>533</v>
      </c>
      <c r="E13" s="33">
        <v>46074</v>
      </c>
      <c r="F13" s="27">
        <f t="shared" si="2"/>
        <v>0.32790509259211831</v>
      </c>
      <c r="G13" s="27"/>
      <c r="H13" s="27"/>
      <c r="I13" s="27">
        <f t="shared" si="0"/>
        <v>0.70922453703678912</v>
      </c>
      <c r="J13" s="8"/>
    </row>
    <row r="14" spans="1:12" x14ac:dyDescent="0.25">
      <c r="A14" s="6" t="s">
        <v>42</v>
      </c>
      <c r="B14" s="7" t="s">
        <v>43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42</v>
      </c>
      <c r="B15" s="7" t="s">
        <v>43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42</v>
      </c>
      <c r="B16" s="7" t="s">
        <v>43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42</v>
      </c>
      <c r="B17" s="7" t="s">
        <v>43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42</v>
      </c>
      <c r="B18" s="7" t="s">
        <v>43</v>
      </c>
      <c r="C18" s="28"/>
      <c r="D18" s="28"/>
      <c r="E18" s="33"/>
      <c r="F18" s="27"/>
      <c r="G18" s="29"/>
      <c r="H18" s="29"/>
      <c r="I18" s="27"/>
      <c r="J18" s="8"/>
    </row>
    <row r="19" spans="1:10" ht="15" customHeight="1" x14ac:dyDescent="0.25">
      <c r="A19" s="6"/>
      <c r="B19" s="7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650" priority="25" operator="equal">
      <formula>"UNDERTIME"</formula>
    </cfRule>
  </conditionalFormatting>
  <conditionalFormatting sqref="F3:H18">
    <cfRule type="cellIs" dxfId="649" priority="1" operator="equal">
      <formula>"UNDERTIME"</formula>
    </cfRule>
  </conditionalFormatting>
  <conditionalFormatting sqref="F1:J2 F19:J1048576">
    <cfRule type="cellIs" dxfId="648" priority="16" operator="equal">
      <formula>"UNDERTIME"</formula>
    </cfRule>
  </conditionalFormatting>
  <conditionalFormatting sqref="J1:J2 J14:J1048576">
    <cfRule type="cellIs" dxfId="647" priority="17" operator="equal">
      <formula>"UNDERTIME"</formula>
    </cfRule>
  </conditionalFormatting>
  <conditionalFormatting sqref="J1:J14">
    <cfRule type="cellIs" dxfId="646" priority="7" operator="equal">
      <formula>"OB"</formula>
    </cfRule>
  </conditionalFormatting>
  <conditionalFormatting sqref="J1:J1048576">
    <cfRule type="cellIs" dxfId="645" priority="6" operator="equal">
      <formula>"HOLIDAY"</formula>
    </cfRule>
    <cfRule type="cellIs" dxfId="644" priority="8" operator="equal">
      <formula>"RESTDAY"</formula>
    </cfRule>
    <cfRule type="cellIs" dxfId="643" priority="9" operator="equal">
      <formula>"HALF DAY"</formula>
    </cfRule>
    <cfRule type="cellIs" dxfId="642" priority="10" operator="equal">
      <formula>"ABSENT"</formula>
    </cfRule>
    <cfRule type="cellIs" dxfId="641" priority="12" operator="equal">
      <formula>"ABSENT"</formula>
    </cfRule>
  </conditionalFormatting>
  <conditionalFormatting sqref="J3:J14">
    <cfRule type="cellIs" dxfId="640" priority="11" operator="equal">
      <formula>"UNDERTIME"</formula>
    </cfRule>
  </conditionalFormatting>
  <conditionalFormatting sqref="J3:J18">
    <cfRule type="cellIs" dxfId="639" priority="5" operator="equal">
      <formula>"UNDERTIME"</formula>
    </cfRule>
  </conditionalFormatting>
  <conditionalFormatting sqref="J5:J1048576">
    <cfRule type="cellIs" dxfId="638" priority="14" operator="equal">
      <formula>"OB"</formula>
    </cfRule>
  </conditionalFormatting>
  <conditionalFormatting sqref="J6">
    <cfRule type="cellIs" dxfId="637" priority="4" operator="equal">
      <formula>"OB"</formula>
    </cfRule>
  </conditionalFormatting>
  <conditionalFormatting sqref="J7">
    <cfRule type="cellIs" dxfId="636" priority="15" operator="equal">
      <formula>"OB"</formula>
    </cfRule>
  </conditionalFormatting>
  <conditionalFormatting sqref="J13">
    <cfRule type="cellIs" dxfId="635" priority="13" operator="equal">
      <formula>"OB"</formula>
    </cfRule>
  </conditionalFormatting>
  <conditionalFormatting sqref="J14">
    <cfRule type="cellIs" dxfId="634" priority="3" operator="equal">
      <formula>"OB"</formula>
    </cfRule>
    <cfRule type="cellIs" dxfId="633" priority="18" operator="equal">
      <formula>"OB"</formula>
    </cfRule>
  </conditionalFormatting>
  <conditionalFormatting sqref="J14:J1048576">
    <cfRule type="cellIs" dxfId="632" priority="19" operator="equal">
      <formula>"OB"</formula>
    </cfRule>
  </conditionalFormatting>
  <conditionalFormatting sqref="J17:J18">
    <cfRule type="cellIs" dxfId="631" priority="20" operator="equal">
      <formula>"OB"</formula>
    </cfRule>
  </conditionalFormatting>
  <conditionalFormatting sqref="K6:K8">
    <cfRule type="containsText" dxfId="630" priority="43" operator="containsText" text="SUNDAY">
      <formula>NOT(ISERROR(SEARCH("SUNDAY",K6)))</formula>
    </cfRule>
    <cfRule type="containsText" dxfId="629" priority="44" operator="containsText" text="HOLIDAY">
      <formula>NOT(ISERROR(SEARCH("HOLIDAY",K6)))</formula>
    </cfRule>
  </conditionalFormatting>
  <conditionalFormatting sqref="K9">
    <cfRule type="containsText" dxfId="628" priority="45" operator="containsText" text="SUNDAY">
      <formula>NOT(ISERROR(SEARCH("SUNDAY",K9)))</formula>
    </cfRule>
    <cfRule type="containsText" dxfId="627" priority="46" operator="containsText" text="HOLIDAY">
      <formula>NOT(ISERROR(SEARCH("HOLIDAY",K9)))</formula>
    </cfRule>
  </conditionalFormatting>
  <conditionalFormatting sqref="L5:L9">
    <cfRule type="containsText" dxfId="626" priority="41" operator="containsText" text="SUNDAY">
      <formula>NOT(ISERROR(SEARCH("SUNDAY",L5)))</formula>
    </cfRule>
    <cfRule type="containsText" dxfId="625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587D-D584-48FE-9D38-862595AB8572}">
  <dimension ref="A1:L26"/>
  <sheetViews>
    <sheetView zoomScaleNormal="100" zoomScaleSheetLayoutView="93" workbookViewId="0">
      <selection activeCell="L6" sqref="L6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81</v>
      </c>
      <c r="B3" s="7" t="s">
        <v>82</v>
      </c>
      <c r="C3" s="2" t="s">
        <v>534</v>
      </c>
      <c r="D3" s="2" t="s">
        <v>535</v>
      </c>
      <c r="E3" s="33">
        <v>46064</v>
      </c>
      <c r="F3" s="27">
        <f>C3-E3</f>
        <v>0.32519675925868796</v>
      </c>
      <c r="G3" s="27"/>
      <c r="H3" s="27"/>
      <c r="I3" s="27">
        <f t="shared" ref="I3:I13" si="0">D3-E3</f>
        <v>0.71525462962745223</v>
      </c>
      <c r="J3" s="8"/>
    </row>
    <row r="4" spans="1:12" x14ac:dyDescent="0.25">
      <c r="A4" s="6" t="s">
        <v>81</v>
      </c>
      <c r="B4" s="7" t="s">
        <v>82</v>
      </c>
      <c r="C4" s="2" t="s">
        <v>536</v>
      </c>
      <c r="D4" s="2" t="s">
        <v>537</v>
      </c>
      <c r="E4" s="33">
        <v>46065</v>
      </c>
      <c r="F4" s="27">
        <f t="shared" ref="F4:F6" si="1">C4-E4</f>
        <v>0.33771990740933688</v>
      </c>
      <c r="G4" s="27"/>
      <c r="H4" s="27"/>
      <c r="I4" s="27">
        <f t="shared" si="0"/>
        <v>0.73093749999679858</v>
      </c>
      <c r="J4" s="8"/>
    </row>
    <row r="5" spans="1:12" x14ac:dyDescent="0.25">
      <c r="A5" s="6" t="s">
        <v>81</v>
      </c>
      <c r="B5" s="7" t="s">
        <v>82</v>
      </c>
      <c r="C5" s="2" t="s">
        <v>538</v>
      </c>
      <c r="D5" s="2" t="s">
        <v>539</v>
      </c>
      <c r="E5" s="33">
        <v>46066</v>
      </c>
      <c r="F5" s="27">
        <f t="shared" si="1"/>
        <v>0.33187500000349246</v>
      </c>
      <c r="G5" s="27"/>
      <c r="H5" s="27"/>
      <c r="I5" s="27">
        <f t="shared" si="0"/>
        <v>0.71611111111269565</v>
      </c>
      <c r="J5" s="8"/>
      <c r="K5" s="3" t="s">
        <v>6</v>
      </c>
      <c r="L5" s="4">
        <v>0</v>
      </c>
    </row>
    <row r="6" spans="1:12" x14ac:dyDescent="0.25">
      <c r="A6" s="6" t="s">
        <v>81</v>
      </c>
      <c r="B6" s="7" t="s">
        <v>82</v>
      </c>
      <c r="C6" s="2" t="s">
        <v>540</v>
      </c>
      <c r="D6" s="2" t="s">
        <v>541</v>
      </c>
      <c r="E6" s="33">
        <v>46067</v>
      </c>
      <c r="F6" s="27">
        <f t="shared" si="1"/>
        <v>0.33775462963239988</v>
      </c>
      <c r="G6" s="27"/>
      <c r="H6" s="27"/>
      <c r="I6" s="27">
        <f t="shared" si="0"/>
        <v>0.710833333330811</v>
      </c>
      <c r="J6" s="8"/>
      <c r="K6" s="3" t="s">
        <v>7</v>
      </c>
      <c r="L6" s="4">
        <v>1</v>
      </c>
    </row>
    <row r="7" spans="1:12" x14ac:dyDescent="0.25">
      <c r="A7" s="6" t="s">
        <v>81</v>
      </c>
      <c r="B7" s="7" t="s">
        <v>82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81</v>
      </c>
      <c r="B8" s="7" t="s">
        <v>82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81</v>
      </c>
      <c r="B9" s="7" t="s">
        <v>82</v>
      </c>
      <c r="C9" s="2" t="s">
        <v>542</v>
      </c>
      <c r="D9" s="2" t="s">
        <v>543</v>
      </c>
      <c r="E9" s="33">
        <v>46070</v>
      </c>
      <c r="F9" s="27">
        <f t="shared" ref="F9:F13" si="2">C9-E9</f>
        <v>0.32743055555329192</v>
      </c>
      <c r="G9" s="27"/>
      <c r="H9" s="27"/>
      <c r="I9" s="27">
        <f t="shared" si="0"/>
        <v>0.7278703703705105</v>
      </c>
      <c r="J9" s="8"/>
      <c r="K9" s="3" t="s">
        <v>10</v>
      </c>
      <c r="L9" s="4">
        <v>0</v>
      </c>
    </row>
    <row r="10" spans="1:12" x14ac:dyDescent="0.25">
      <c r="A10" s="6" t="s">
        <v>81</v>
      </c>
      <c r="B10" s="7" t="s">
        <v>82</v>
      </c>
      <c r="C10" s="2" t="s">
        <v>544</v>
      </c>
      <c r="D10" s="2" t="s">
        <v>545</v>
      </c>
      <c r="E10" s="33">
        <v>46071</v>
      </c>
      <c r="F10" s="27">
        <f t="shared" si="2"/>
        <v>0.31828703703649808</v>
      </c>
      <c r="G10" s="27"/>
      <c r="H10" s="27"/>
      <c r="I10" s="27">
        <f t="shared" si="0"/>
        <v>0.71756944444496185</v>
      </c>
      <c r="J10" s="8"/>
    </row>
    <row r="11" spans="1:12" x14ac:dyDescent="0.25">
      <c r="A11" s="6" t="s">
        <v>81</v>
      </c>
      <c r="B11" s="7" t="s">
        <v>82</v>
      </c>
      <c r="C11" s="2" t="s">
        <v>546</v>
      </c>
      <c r="D11" s="2" t="s">
        <v>547</v>
      </c>
      <c r="E11" s="33">
        <v>46072</v>
      </c>
      <c r="F11" s="27">
        <f t="shared" si="2"/>
        <v>0.32878472222364508</v>
      </c>
      <c r="G11" s="27"/>
      <c r="H11" s="27"/>
      <c r="I11" s="27">
        <f t="shared" si="0"/>
        <v>0.77299768518423662</v>
      </c>
      <c r="J11" s="8"/>
    </row>
    <row r="12" spans="1:12" x14ac:dyDescent="0.25">
      <c r="A12" s="6" t="s">
        <v>81</v>
      </c>
      <c r="B12" s="7" t="s">
        <v>82</v>
      </c>
      <c r="C12" s="2"/>
      <c r="D12" s="2"/>
      <c r="E12" s="33">
        <v>46073</v>
      </c>
      <c r="F12" s="27"/>
      <c r="G12" s="27"/>
      <c r="H12" s="27"/>
      <c r="I12" s="27"/>
      <c r="J12" s="8" t="s">
        <v>156</v>
      </c>
    </row>
    <row r="13" spans="1:12" x14ac:dyDescent="0.25">
      <c r="A13" s="6" t="s">
        <v>81</v>
      </c>
      <c r="B13" s="7" t="s">
        <v>82</v>
      </c>
      <c r="C13" s="2" t="s">
        <v>548</v>
      </c>
      <c r="D13" s="2" t="s">
        <v>549</v>
      </c>
      <c r="E13" s="33">
        <v>46074</v>
      </c>
      <c r="F13" s="27">
        <f t="shared" si="2"/>
        <v>0.30434027777664596</v>
      </c>
      <c r="G13" s="27"/>
      <c r="H13" s="27"/>
      <c r="I13" s="27">
        <f t="shared" si="0"/>
        <v>0.71687499999825377</v>
      </c>
      <c r="J13" s="8"/>
    </row>
    <row r="14" spans="1:12" x14ac:dyDescent="0.25">
      <c r="A14" s="6" t="s">
        <v>81</v>
      </c>
      <c r="B14" s="7" t="s">
        <v>82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81</v>
      </c>
      <c r="B15" s="7" t="s">
        <v>82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81</v>
      </c>
      <c r="B16" s="7" t="s">
        <v>82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ht="14.25" customHeight="1" x14ac:dyDescent="0.25">
      <c r="A17" s="6" t="s">
        <v>81</v>
      </c>
      <c r="B17" s="7" t="s">
        <v>82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81</v>
      </c>
      <c r="B18" s="7" t="s">
        <v>82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A19" s="5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42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624" priority="25" operator="equal">
      <formula>"UNDERTIME"</formula>
    </cfRule>
  </conditionalFormatting>
  <conditionalFormatting sqref="F3:H18">
    <cfRule type="cellIs" dxfId="623" priority="1" operator="equal">
      <formula>"UNDERTIME"</formula>
    </cfRule>
  </conditionalFormatting>
  <conditionalFormatting sqref="F1:J2 F19:J1048576">
    <cfRule type="cellIs" dxfId="622" priority="16" operator="equal">
      <formula>"UNDERTIME"</formula>
    </cfRule>
  </conditionalFormatting>
  <conditionalFormatting sqref="J1:J2 J14:J1048576">
    <cfRule type="cellIs" dxfId="621" priority="17" operator="equal">
      <formula>"UNDERTIME"</formula>
    </cfRule>
  </conditionalFormatting>
  <conditionalFormatting sqref="J1:J14">
    <cfRule type="cellIs" dxfId="620" priority="7" operator="equal">
      <formula>"OB"</formula>
    </cfRule>
  </conditionalFormatting>
  <conditionalFormatting sqref="J1:J1048576">
    <cfRule type="cellIs" dxfId="619" priority="6" operator="equal">
      <formula>"HOLIDAY"</formula>
    </cfRule>
    <cfRule type="cellIs" dxfId="618" priority="8" operator="equal">
      <formula>"RESTDAY"</formula>
    </cfRule>
    <cfRule type="cellIs" dxfId="617" priority="9" operator="equal">
      <formula>"HALF DAY"</formula>
    </cfRule>
    <cfRule type="cellIs" dxfId="616" priority="10" operator="equal">
      <formula>"ABSENT"</formula>
    </cfRule>
    <cfRule type="cellIs" dxfId="615" priority="12" operator="equal">
      <formula>"ABSENT"</formula>
    </cfRule>
  </conditionalFormatting>
  <conditionalFormatting sqref="J3:J14">
    <cfRule type="cellIs" dxfId="614" priority="11" operator="equal">
      <formula>"UNDERTIME"</formula>
    </cfRule>
  </conditionalFormatting>
  <conditionalFormatting sqref="J3:J18">
    <cfRule type="cellIs" dxfId="613" priority="5" operator="equal">
      <formula>"UNDERTIME"</formula>
    </cfRule>
  </conditionalFormatting>
  <conditionalFormatting sqref="J5:J1048576">
    <cfRule type="cellIs" dxfId="612" priority="14" operator="equal">
      <formula>"OB"</formula>
    </cfRule>
  </conditionalFormatting>
  <conditionalFormatting sqref="J6">
    <cfRule type="cellIs" dxfId="611" priority="4" operator="equal">
      <formula>"OB"</formula>
    </cfRule>
  </conditionalFormatting>
  <conditionalFormatting sqref="J7">
    <cfRule type="cellIs" dxfId="610" priority="15" operator="equal">
      <formula>"OB"</formula>
    </cfRule>
  </conditionalFormatting>
  <conditionalFormatting sqref="J13">
    <cfRule type="cellIs" dxfId="609" priority="13" operator="equal">
      <formula>"OB"</formula>
    </cfRule>
  </conditionalFormatting>
  <conditionalFormatting sqref="J14">
    <cfRule type="cellIs" dxfId="608" priority="3" operator="equal">
      <formula>"OB"</formula>
    </cfRule>
    <cfRule type="cellIs" dxfId="607" priority="18" operator="equal">
      <formula>"OB"</formula>
    </cfRule>
  </conditionalFormatting>
  <conditionalFormatting sqref="J14:J1048576">
    <cfRule type="cellIs" dxfId="606" priority="19" operator="equal">
      <formula>"OB"</formula>
    </cfRule>
  </conditionalFormatting>
  <conditionalFormatting sqref="J17:J18">
    <cfRule type="cellIs" dxfId="605" priority="20" operator="equal">
      <formula>"OB"</formula>
    </cfRule>
  </conditionalFormatting>
  <conditionalFormatting sqref="K6:K8">
    <cfRule type="containsText" dxfId="604" priority="43" operator="containsText" text="SUNDAY">
      <formula>NOT(ISERROR(SEARCH("SUNDAY",K6)))</formula>
    </cfRule>
    <cfRule type="containsText" dxfId="603" priority="44" operator="containsText" text="HOLIDAY">
      <formula>NOT(ISERROR(SEARCH("HOLIDAY",K6)))</formula>
    </cfRule>
  </conditionalFormatting>
  <conditionalFormatting sqref="K9">
    <cfRule type="containsText" dxfId="602" priority="45" operator="containsText" text="SUNDAY">
      <formula>NOT(ISERROR(SEARCH("SUNDAY",K9)))</formula>
    </cfRule>
    <cfRule type="containsText" dxfId="601" priority="46" operator="containsText" text="HOLIDAY">
      <formula>NOT(ISERROR(SEARCH("HOLIDAY",K9)))</formula>
    </cfRule>
  </conditionalFormatting>
  <conditionalFormatting sqref="L5:L9">
    <cfRule type="containsText" dxfId="600" priority="41" operator="containsText" text="SUNDAY">
      <formula>NOT(ISERROR(SEARCH("SUNDAY",L5)))</formula>
    </cfRule>
    <cfRule type="containsText" dxfId="599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ED1D-B89F-41AF-B1A8-57C3A2827B02}">
  <dimension ref="A1:M26"/>
  <sheetViews>
    <sheetView zoomScaleNormal="100" zoomScaleSheetLayoutView="93" workbookViewId="0">
      <selection activeCell="L6" sqref="L6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44</v>
      </c>
      <c r="B3" s="7" t="s">
        <v>45</v>
      </c>
      <c r="C3" s="2" t="s">
        <v>550</v>
      </c>
      <c r="D3" s="2" t="s">
        <v>551</v>
      </c>
      <c r="E3" s="33">
        <v>46064</v>
      </c>
      <c r="F3" s="27">
        <f>C3-E3</f>
        <v>0.31782407407445135</v>
      </c>
      <c r="G3" s="27"/>
      <c r="H3" s="27"/>
      <c r="I3" s="27">
        <f t="shared" ref="I3:I13" si="0">D3-E3</f>
        <v>0.71001157407590654</v>
      </c>
      <c r="J3" s="8"/>
    </row>
    <row r="4" spans="1:12" x14ac:dyDescent="0.25">
      <c r="A4" s="6" t="s">
        <v>44</v>
      </c>
      <c r="B4" s="7" t="s">
        <v>45</v>
      </c>
      <c r="C4" s="2" t="s">
        <v>552</v>
      </c>
      <c r="D4" s="2" t="s">
        <v>553</v>
      </c>
      <c r="E4" s="33">
        <v>46065</v>
      </c>
      <c r="F4" s="27">
        <f t="shared" ref="F4:F6" si="1">C4-E4</f>
        <v>0.31982638889166992</v>
      </c>
      <c r="G4" s="27"/>
      <c r="H4" s="27"/>
      <c r="I4" s="27">
        <f t="shared" si="0"/>
        <v>0.70874999999796273</v>
      </c>
      <c r="J4" s="8"/>
    </row>
    <row r="5" spans="1:12" x14ac:dyDescent="0.25">
      <c r="A5" s="6" t="s">
        <v>44</v>
      </c>
      <c r="B5" s="7" t="s">
        <v>45</v>
      </c>
      <c r="C5" s="2" t="s">
        <v>554</v>
      </c>
      <c r="D5" s="2" t="s">
        <v>555</v>
      </c>
      <c r="E5" s="33">
        <v>46066</v>
      </c>
      <c r="F5" s="27">
        <f t="shared" si="1"/>
        <v>0.3268171296294895</v>
      </c>
      <c r="G5" s="27"/>
      <c r="H5" s="27"/>
      <c r="I5" s="27">
        <f t="shared" si="0"/>
        <v>0.70879629629780538</v>
      </c>
      <c r="J5" s="8"/>
      <c r="K5" s="3" t="s">
        <v>6</v>
      </c>
      <c r="L5" s="4">
        <v>0</v>
      </c>
    </row>
    <row r="6" spans="1:12" x14ac:dyDescent="0.25">
      <c r="A6" s="6" t="s">
        <v>44</v>
      </c>
      <c r="B6" s="7" t="s">
        <v>45</v>
      </c>
      <c r="C6" s="2" t="s">
        <v>556</v>
      </c>
      <c r="D6" s="2" t="s">
        <v>557</v>
      </c>
      <c r="E6" s="33">
        <v>46067</v>
      </c>
      <c r="F6" s="27">
        <f t="shared" si="1"/>
        <v>0.32702546296059154</v>
      </c>
      <c r="G6" s="27"/>
      <c r="H6" s="27"/>
      <c r="I6" s="27">
        <f t="shared" si="0"/>
        <v>0.54312499999650754</v>
      </c>
      <c r="J6" s="8" t="s">
        <v>261</v>
      </c>
      <c r="K6" s="3" t="s">
        <v>7</v>
      </c>
      <c r="L6" s="4">
        <v>1.5</v>
      </c>
    </row>
    <row r="7" spans="1:12" x14ac:dyDescent="0.25">
      <c r="A7" s="6" t="s">
        <v>44</v>
      </c>
      <c r="B7" s="7" t="s">
        <v>45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44</v>
      </c>
      <c r="B8" s="7" t="s">
        <v>45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44</v>
      </c>
      <c r="B9" s="7" t="s">
        <v>45</v>
      </c>
      <c r="C9" s="2" t="s">
        <v>558</v>
      </c>
      <c r="D9" s="2" t="s">
        <v>559</v>
      </c>
      <c r="E9" s="33">
        <v>46070</v>
      </c>
      <c r="F9" s="27">
        <f t="shared" ref="F9:F13" si="2">C9-E9</f>
        <v>0.31405092592467554</v>
      </c>
      <c r="G9" s="27"/>
      <c r="H9" s="27"/>
      <c r="I9" s="27">
        <f t="shared" si="0"/>
        <v>0.70896990740584442</v>
      </c>
      <c r="J9" s="8"/>
      <c r="K9" s="3" t="s">
        <v>10</v>
      </c>
      <c r="L9" s="4">
        <v>0</v>
      </c>
    </row>
    <row r="10" spans="1:12" x14ac:dyDescent="0.25">
      <c r="A10" s="6" t="s">
        <v>44</v>
      </c>
      <c r="B10" s="7" t="s">
        <v>45</v>
      </c>
      <c r="C10" s="2" t="s">
        <v>560</v>
      </c>
      <c r="D10" s="2" t="s">
        <v>561</v>
      </c>
      <c r="E10" s="33">
        <v>46071</v>
      </c>
      <c r="F10" s="27">
        <f t="shared" si="2"/>
        <v>0.31968749999941792</v>
      </c>
      <c r="G10" s="27"/>
      <c r="H10" s="27"/>
      <c r="I10" s="27">
        <f t="shared" si="0"/>
        <v>0.70893518518278142</v>
      </c>
      <c r="J10" s="8"/>
    </row>
    <row r="11" spans="1:12" x14ac:dyDescent="0.25">
      <c r="A11" s="6" t="s">
        <v>44</v>
      </c>
      <c r="B11" s="7" t="s">
        <v>45</v>
      </c>
      <c r="C11" s="2" t="s">
        <v>562</v>
      </c>
      <c r="D11" s="2" t="s">
        <v>563</v>
      </c>
      <c r="E11" s="33">
        <v>46072</v>
      </c>
      <c r="F11" s="27">
        <f t="shared" si="2"/>
        <v>0.32232638888672227</v>
      </c>
      <c r="G11" s="27"/>
      <c r="H11" s="27"/>
      <c r="I11" s="27">
        <f t="shared" si="0"/>
        <v>0.70870370370539604</v>
      </c>
      <c r="J11" s="8"/>
    </row>
    <row r="12" spans="1:12" x14ac:dyDescent="0.25">
      <c r="A12" s="6" t="s">
        <v>44</v>
      </c>
      <c r="B12" s="7" t="s">
        <v>45</v>
      </c>
      <c r="C12" s="2" t="s">
        <v>564</v>
      </c>
      <c r="D12" s="2" t="s">
        <v>565</v>
      </c>
      <c r="E12" s="33">
        <v>46073</v>
      </c>
      <c r="F12" s="27">
        <f t="shared" si="2"/>
        <v>0.32806712963065365</v>
      </c>
      <c r="G12" s="27"/>
      <c r="H12" s="27"/>
      <c r="I12" s="27">
        <f t="shared" si="0"/>
        <v>0.71962962963152677</v>
      </c>
      <c r="J12" s="8"/>
    </row>
    <row r="13" spans="1:12" x14ac:dyDescent="0.25">
      <c r="A13" s="6" t="s">
        <v>44</v>
      </c>
      <c r="B13" s="7" t="s">
        <v>45</v>
      </c>
      <c r="C13" s="2" t="s">
        <v>566</v>
      </c>
      <c r="D13" s="2" t="s">
        <v>567</v>
      </c>
      <c r="E13" s="33">
        <v>46074</v>
      </c>
      <c r="F13" s="27">
        <f t="shared" si="2"/>
        <v>0.32483796296583023</v>
      </c>
      <c r="G13" s="27"/>
      <c r="H13" s="27"/>
      <c r="I13" s="27">
        <f t="shared" si="0"/>
        <v>0.73135416666627862</v>
      </c>
      <c r="J13" s="8"/>
    </row>
    <row r="14" spans="1:12" x14ac:dyDescent="0.25">
      <c r="A14" s="6" t="s">
        <v>44</v>
      </c>
      <c r="B14" s="7" t="s">
        <v>45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44</v>
      </c>
      <c r="B15" s="7" t="s">
        <v>45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44</v>
      </c>
      <c r="B16" s="7" t="s">
        <v>45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3" x14ac:dyDescent="0.25">
      <c r="A17" s="6" t="s">
        <v>44</v>
      </c>
      <c r="B17" s="7" t="s">
        <v>45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3" ht="12" customHeight="1" x14ac:dyDescent="0.25">
      <c r="A18" s="6" t="s">
        <v>44</v>
      </c>
      <c r="B18" s="7" t="s">
        <v>45</v>
      </c>
      <c r="C18" s="28"/>
      <c r="D18" s="28"/>
      <c r="E18" s="33"/>
      <c r="F18" s="27"/>
      <c r="G18" s="29"/>
      <c r="H18" s="29"/>
      <c r="I18" s="27"/>
      <c r="J18" s="8"/>
    </row>
    <row r="19" spans="1:13" x14ac:dyDescent="0.25">
      <c r="A19" s="5"/>
      <c r="B19" s="2"/>
      <c r="C19" s="2"/>
      <c r="D19" s="2"/>
      <c r="E19" s="33"/>
      <c r="F19" s="27"/>
      <c r="I19" s="27"/>
      <c r="J19" s="8"/>
      <c r="M19">
        <v>0</v>
      </c>
    </row>
    <row r="20" spans="1:13" ht="15.75" thickBot="1" x14ac:dyDescent="0.3">
      <c r="A20" s="9"/>
      <c r="B20" s="42"/>
      <c r="C20" s="37"/>
      <c r="D20" s="17"/>
      <c r="E20" s="37"/>
      <c r="F20" s="17"/>
      <c r="G20" s="17"/>
      <c r="H20" s="17"/>
      <c r="I20" s="17"/>
      <c r="J20" s="26"/>
    </row>
    <row r="21" spans="1:13" x14ac:dyDescent="0.25">
      <c r="B21" s="2"/>
      <c r="H21" s="38"/>
    </row>
    <row r="22" spans="1:13" x14ac:dyDescent="0.25">
      <c r="B22" s="2"/>
      <c r="C22" s="2"/>
      <c r="D22" s="2"/>
      <c r="E22" s="20"/>
    </row>
    <row r="23" spans="1:13" x14ac:dyDescent="0.25">
      <c r="B23" s="2"/>
      <c r="C23" s="2"/>
      <c r="D23" s="2"/>
      <c r="E23" s="20"/>
    </row>
    <row r="24" spans="1:13" x14ac:dyDescent="0.25">
      <c r="C24" s="2"/>
      <c r="D24" s="2"/>
      <c r="E24" s="20"/>
    </row>
    <row r="25" spans="1:13" x14ac:dyDescent="0.25">
      <c r="C25" s="2"/>
      <c r="D25" s="2"/>
      <c r="E25" s="20"/>
    </row>
    <row r="26" spans="1:13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598" priority="25" operator="equal">
      <formula>"UNDERTIME"</formula>
    </cfRule>
  </conditionalFormatting>
  <conditionalFormatting sqref="F3:H18">
    <cfRule type="cellIs" dxfId="597" priority="1" operator="equal">
      <formula>"UNDERTIME"</formula>
    </cfRule>
  </conditionalFormatting>
  <conditionalFormatting sqref="F1:J2 F19:J1048576">
    <cfRule type="cellIs" dxfId="596" priority="16" operator="equal">
      <formula>"UNDERTIME"</formula>
    </cfRule>
  </conditionalFormatting>
  <conditionalFormatting sqref="J1:J2 J14:J1048576">
    <cfRule type="cellIs" dxfId="595" priority="17" operator="equal">
      <formula>"UNDERTIME"</formula>
    </cfRule>
  </conditionalFormatting>
  <conditionalFormatting sqref="J1:J14">
    <cfRule type="cellIs" dxfId="594" priority="7" operator="equal">
      <formula>"OB"</formula>
    </cfRule>
  </conditionalFormatting>
  <conditionalFormatting sqref="J1:J1048576">
    <cfRule type="cellIs" dxfId="593" priority="6" operator="equal">
      <formula>"HOLIDAY"</formula>
    </cfRule>
    <cfRule type="cellIs" dxfId="592" priority="8" operator="equal">
      <formula>"RESTDAY"</formula>
    </cfRule>
    <cfRule type="cellIs" dxfId="591" priority="9" operator="equal">
      <formula>"HALF DAY"</formula>
    </cfRule>
    <cfRule type="cellIs" dxfId="590" priority="10" operator="equal">
      <formula>"ABSENT"</formula>
    </cfRule>
    <cfRule type="cellIs" dxfId="589" priority="12" operator="equal">
      <formula>"ABSENT"</formula>
    </cfRule>
  </conditionalFormatting>
  <conditionalFormatting sqref="J3:J14">
    <cfRule type="cellIs" dxfId="588" priority="11" operator="equal">
      <formula>"UNDERTIME"</formula>
    </cfRule>
  </conditionalFormatting>
  <conditionalFormatting sqref="J3:J18">
    <cfRule type="cellIs" dxfId="587" priority="5" operator="equal">
      <formula>"UNDERTIME"</formula>
    </cfRule>
  </conditionalFormatting>
  <conditionalFormatting sqref="J5:J1048576">
    <cfRule type="cellIs" dxfId="586" priority="14" operator="equal">
      <formula>"OB"</formula>
    </cfRule>
  </conditionalFormatting>
  <conditionalFormatting sqref="J6">
    <cfRule type="cellIs" dxfId="585" priority="4" operator="equal">
      <formula>"OB"</formula>
    </cfRule>
  </conditionalFormatting>
  <conditionalFormatting sqref="J7">
    <cfRule type="cellIs" dxfId="584" priority="15" operator="equal">
      <formula>"OB"</formula>
    </cfRule>
  </conditionalFormatting>
  <conditionalFormatting sqref="J13">
    <cfRule type="cellIs" dxfId="583" priority="13" operator="equal">
      <formula>"OB"</formula>
    </cfRule>
  </conditionalFormatting>
  <conditionalFormatting sqref="J14">
    <cfRule type="cellIs" dxfId="582" priority="3" operator="equal">
      <formula>"OB"</formula>
    </cfRule>
    <cfRule type="cellIs" dxfId="581" priority="18" operator="equal">
      <formula>"OB"</formula>
    </cfRule>
  </conditionalFormatting>
  <conditionalFormatting sqref="J14:J1048576">
    <cfRule type="cellIs" dxfId="580" priority="19" operator="equal">
      <formula>"OB"</formula>
    </cfRule>
  </conditionalFormatting>
  <conditionalFormatting sqref="J17:J18">
    <cfRule type="cellIs" dxfId="579" priority="20" operator="equal">
      <formula>"OB"</formula>
    </cfRule>
  </conditionalFormatting>
  <conditionalFormatting sqref="K6:K8">
    <cfRule type="containsText" dxfId="578" priority="43" operator="containsText" text="SUNDAY">
      <formula>NOT(ISERROR(SEARCH("SUNDAY",K6)))</formula>
    </cfRule>
    <cfRule type="containsText" dxfId="577" priority="44" operator="containsText" text="HOLIDAY">
      <formula>NOT(ISERROR(SEARCH("HOLIDAY",K6)))</formula>
    </cfRule>
  </conditionalFormatting>
  <conditionalFormatting sqref="K9">
    <cfRule type="containsText" dxfId="576" priority="45" operator="containsText" text="SUNDAY">
      <formula>NOT(ISERROR(SEARCH("SUNDAY",K9)))</formula>
    </cfRule>
    <cfRule type="containsText" dxfId="575" priority="46" operator="containsText" text="HOLIDAY">
      <formula>NOT(ISERROR(SEARCH("HOLIDAY",K9)))</formula>
    </cfRule>
  </conditionalFormatting>
  <conditionalFormatting sqref="L5:L9">
    <cfRule type="containsText" dxfId="574" priority="41" operator="containsText" text="SUNDAY">
      <formula>NOT(ISERROR(SEARCH("SUNDAY",L5)))</formula>
    </cfRule>
    <cfRule type="containsText" dxfId="573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A8A2-C5E3-4A83-8C14-F8C9E8F8EABE}">
  <dimension ref="A1:L26"/>
  <sheetViews>
    <sheetView zoomScaleNormal="100" zoomScaleSheetLayoutView="93" workbookViewId="0">
      <selection activeCell="L6" sqref="L6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46</v>
      </c>
      <c r="B3" s="7" t="s">
        <v>47</v>
      </c>
      <c r="C3" s="2" t="s">
        <v>568</v>
      </c>
      <c r="D3" s="2" t="s">
        <v>569</v>
      </c>
      <c r="E3" s="33">
        <v>46064</v>
      </c>
      <c r="F3" s="27">
        <f>C3-E3</f>
        <v>0.32759259259182727</v>
      </c>
      <c r="G3" s="27"/>
      <c r="H3" s="27"/>
      <c r="I3" s="27">
        <f t="shared" ref="I3:I13" si="0">D3-E3</f>
        <v>0.70905092592875008</v>
      </c>
      <c r="J3" s="8"/>
    </row>
    <row r="4" spans="1:12" x14ac:dyDescent="0.25">
      <c r="A4" s="6" t="s">
        <v>46</v>
      </c>
      <c r="B4" s="7" t="s">
        <v>47</v>
      </c>
      <c r="C4" s="2" t="s">
        <v>570</v>
      </c>
      <c r="D4" s="2" t="s">
        <v>571</v>
      </c>
      <c r="E4" s="33">
        <v>46065</v>
      </c>
      <c r="F4" s="27">
        <f t="shared" ref="F4:F6" si="1">C4-E4</f>
        <v>0.33362268518249039</v>
      </c>
      <c r="G4" s="27"/>
      <c r="H4" s="27"/>
      <c r="I4" s="27">
        <f t="shared" si="0"/>
        <v>0.70890046295971842</v>
      </c>
      <c r="J4" s="8"/>
    </row>
    <row r="5" spans="1:12" x14ac:dyDescent="0.25">
      <c r="A5" s="6" t="s">
        <v>46</v>
      </c>
      <c r="B5" s="7" t="s">
        <v>47</v>
      </c>
      <c r="C5" s="2" t="s">
        <v>572</v>
      </c>
      <c r="D5" s="2" t="s">
        <v>573</v>
      </c>
      <c r="E5" s="33">
        <v>46066</v>
      </c>
      <c r="F5" s="27">
        <f t="shared" si="1"/>
        <v>0.32240740740962792</v>
      </c>
      <c r="G5" s="27"/>
      <c r="H5" s="27"/>
      <c r="I5" s="27">
        <f t="shared" si="0"/>
        <v>0.70891203703649808</v>
      </c>
      <c r="J5" s="8"/>
      <c r="K5" s="3" t="s">
        <v>6</v>
      </c>
      <c r="L5" s="4">
        <v>0</v>
      </c>
    </row>
    <row r="6" spans="1:12" x14ac:dyDescent="0.25">
      <c r="A6" s="6" t="s">
        <v>46</v>
      </c>
      <c r="B6" s="7" t="s">
        <v>47</v>
      </c>
      <c r="C6" s="2" t="s">
        <v>574</v>
      </c>
      <c r="D6" s="2" t="s">
        <v>575</v>
      </c>
      <c r="E6" s="33">
        <v>46067</v>
      </c>
      <c r="F6" s="27">
        <f t="shared" si="1"/>
        <v>0.32923611110891216</v>
      </c>
      <c r="G6" s="27"/>
      <c r="H6" s="27"/>
      <c r="I6" s="27">
        <f t="shared" si="0"/>
        <v>0.70871527777489973</v>
      </c>
      <c r="J6" s="8"/>
      <c r="K6" s="3" t="s">
        <v>7</v>
      </c>
      <c r="L6" s="4">
        <v>2</v>
      </c>
    </row>
    <row r="7" spans="1:12" x14ac:dyDescent="0.25">
      <c r="A7" s="6" t="s">
        <v>46</v>
      </c>
      <c r="B7" s="7" t="s">
        <v>47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46</v>
      </c>
      <c r="B8" s="7" t="s">
        <v>47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46</v>
      </c>
      <c r="B9" s="7" t="s">
        <v>47</v>
      </c>
      <c r="C9" s="2" t="s">
        <v>576</v>
      </c>
      <c r="D9" s="2" t="s">
        <v>577</v>
      </c>
      <c r="E9" s="33">
        <v>46070</v>
      </c>
      <c r="F9" s="27">
        <f t="shared" ref="F9:F13" si="2">C9-E9</f>
        <v>0.31633101851912215</v>
      </c>
      <c r="G9" s="27"/>
      <c r="H9" s="27"/>
      <c r="I9" s="27">
        <f t="shared" si="0"/>
        <v>0.71271990740933688</v>
      </c>
      <c r="J9" s="8"/>
      <c r="K9" s="3" t="s">
        <v>10</v>
      </c>
      <c r="L9" s="4">
        <v>0</v>
      </c>
    </row>
    <row r="10" spans="1:12" x14ac:dyDescent="0.25">
      <c r="A10" s="6" t="s">
        <v>46</v>
      </c>
      <c r="B10" s="7" t="s">
        <v>47</v>
      </c>
      <c r="C10" s="2" t="s">
        <v>578</v>
      </c>
      <c r="D10" s="2" t="s">
        <v>579</v>
      </c>
      <c r="E10" s="33">
        <v>46071</v>
      </c>
      <c r="F10" s="27">
        <f t="shared" si="2"/>
        <v>0.32136574073956581</v>
      </c>
      <c r="G10" s="27"/>
      <c r="H10" s="27"/>
      <c r="I10" s="27">
        <f t="shared" si="0"/>
        <v>0.70879629629780538</v>
      </c>
      <c r="J10" s="8"/>
    </row>
    <row r="11" spans="1:12" x14ac:dyDescent="0.25">
      <c r="A11" s="6" t="s">
        <v>46</v>
      </c>
      <c r="B11" s="7" t="s">
        <v>47</v>
      </c>
      <c r="C11" s="2"/>
      <c r="D11" s="2"/>
      <c r="E11" s="33">
        <v>46072</v>
      </c>
      <c r="F11" s="27"/>
      <c r="G11" s="27"/>
      <c r="H11" s="27"/>
      <c r="I11" s="27"/>
      <c r="J11" s="8" t="s">
        <v>156</v>
      </c>
    </row>
    <row r="12" spans="1:12" x14ac:dyDescent="0.25">
      <c r="A12" s="6" t="s">
        <v>46</v>
      </c>
      <c r="B12" s="7" t="s">
        <v>47</v>
      </c>
      <c r="C12" s="2" t="s">
        <v>580</v>
      </c>
      <c r="D12" s="2" t="s">
        <v>581</v>
      </c>
      <c r="E12" s="33">
        <v>46073</v>
      </c>
      <c r="F12" s="27">
        <f t="shared" si="2"/>
        <v>0.32238425925606862</v>
      </c>
      <c r="G12" s="27"/>
      <c r="H12" s="27"/>
      <c r="I12" s="27">
        <f t="shared" si="0"/>
        <v>0.70850694444379769</v>
      </c>
      <c r="J12" s="8"/>
    </row>
    <row r="13" spans="1:12" x14ac:dyDescent="0.25">
      <c r="A13" s="6" t="s">
        <v>46</v>
      </c>
      <c r="B13" s="7" t="s">
        <v>47</v>
      </c>
      <c r="C13" s="2" t="s">
        <v>582</v>
      </c>
      <c r="D13" s="2" t="s">
        <v>583</v>
      </c>
      <c r="E13" s="33">
        <v>46074</v>
      </c>
      <c r="F13" s="27">
        <f t="shared" si="2"/>
        <v>0.32745370370685123</v>
      </c>
      <c r="G13" s="27"/>
      <c r="H13" s="27"/>
      <c r="I13" s="27">
        <f t="shared" si="0"/>
        <v>0.70857638888992369</v>
      </c>
      <c r="J13" s="8"/>
    </row>
    <row r="14" spans="1:12" x14ac:dyDescent="0.25">
      <c r="A14" s="6" t="s">
        <v>46</v>
      </c>
      <c r="B14" s="7" t="s">
        <v>47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46</v>
      </c>
      <c r="B15" s="7" t="s">
        <v>47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46</v>
      </c>
      <c r="B16" s="7" t="s">
        <v>47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46</v>
      </c>
      <c r="B17" s="7" t="s">
        <v>47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46</v>
      </c>
      <c r="B18" s="7" t="s">
        <v>47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A19" s="5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572" priority="25" operator="equal">
      <formula>"UNDERTIME"</formula>
    </cfRule>
  </conditionalFormatting>
  <conditionalFormatting sqref="F3:H18">
    <cfRule type="cellIs" dxfId="571" priority="1" operator="equal">
      <formula>"UNDERTIME"</formula>
    </cfRule>
  </conditionalFormatting>
  <conditionalFormatting sqref="F1:J2 F19:J1048576">
    <cfRule type="cellIs" dxfId="570" priority="16" operator="equal">
      <formula>"UNDERTIME"</formula>
    </cfRule>
  </conditionalFormatting>
  <conditionalFormatting sqref="J1:J2 J14:J1048576">
    <cfRule type="cellIs" dxfId="569" priority="17" operator="equal">
      <formula>"UNDERTIME"</formula>
    </cfRule>
  </conditionalFormatting>
  <conditionalFormatting sqref="J1:J14">
    <cfRule type="cellIs" dxfId="568" priority="7" operator="equal">
      <formula>"OB"</formula>
    </cfRule>
  </conditionalFormatting>
  <conditionalFormatting sqref="J1:J1048576">
    <cfRule type="cellIs" dxfId="567" priority="6" operator="equal">
      <formula>"HOLIDAY"</formula>
    </cfRule>
    <cfRule type="cellIs" dxfId="566" priority="8" operator="equal">
      <formula>"RESTDAY"</formula>
    </cfRule>
    <cfRule type="cellIs" dxfId="565" priority="9" operator="equal">
      <formula>"HALF DAY"</formula>
    </cfRule>
    <cfRule type="cellIs" dxfId="564" priority="10" operator="equal">
      <formula>"ABSENT"</formula>
    </cfRule>
    <cfRule type="cellIs" dxfId="563" priority="12" operator="equal">
      <formula>"ABSENT"</formula>
    </cfRule>
  </conditionalFormatting>
  <conditionalFormatting sqref="J3:J14">
    <cfRule type="cellIs" dxfId="562" priority="11" operator="equal">
      <formula>"UNDERTIME"</formula>
    </cfRule>
  </conditionalFormatting>
  <conditionalFormatting sqref="J3:J18">
    <cfRule type="cellIs" dxfId="561" priority="5" operator="equal">
      <formula>"UNDERTIME"</formula>
    </cfRule>
  </conditionalFormatting>
  <conditionalFormatting sqref="J5:J1048576">
    <cfRule type="cellIs" dxfId="560" priority="14" operator="equal">
      <formula>"OB"</formula>
    </cfRule>
  </conditionalFormatting>
  <conditionalFormatting sqref="J6">
    <cfRule type="cellIs" dxfId="559" priority="4" operator="equal">
      <formula>"OB"</formula>
    </cfRule>
  </conditionalFormatting>
  <conditionalFormatting sqref="J7">
    <cfRule type="cellIs" dxfId="558" priority="15" operator="equal">
      <formula>"OB"</formula>
    </cfRule>
  </conditionalFormatting>
  <conditionalFormatting sqref="J13">
    <cfRule type="cellIs" dxfId="557" priority="13" operator="equal">
      <formula>"OB"</formula>
    </cfRule>
  </conditionalFormatting>
  <conditionalFormatting sqref="J14">
    <cfRule type="cellIs" dxfId="556" priority="3" operator="equal">
      <formula>"OB"</formula>
    </cfRule>
    <cfRule type="cellIs" dxfId="555" priority="18" operator="equal">
      <formula>"OB"</formula>
    </cfRule>
  </conditionalFormatting>
  <conditionalFormatting sqref="J14:J1048576">
    <cfRule type="cellIs" dxfId="554" priority="19" operator="equal">
      <formula>"OB"</formula>
    </cfRule>
  </conditionalFormatting>
  <conditionalFormatting sqref="J17:J18">
    <cfRule type="cellIs" dxfId="553" priority="20" operator="equal">
      <formula>"OB"</formula>
    </cfRule>
  </conditionalFormatting>
  <conditionalFormatting sqref="K6:K8">
    <cfRule type="containsText" dxfId="552" priority="43" operator="containsText" text="SUNDAY">
      <formula>NOT(ISERROR(SEARCH("SUNDAY",K6)))</formula>
    </cfRule>
    <cfRule type="containsText" dxfId="551" priority="44" operator="containsText" text="HOLIDAY">
      <formula>NOT(ISERROR(SEARCH("HOLIDAY",K6)))</formula>
    </cfRule>
  </conditionalFormatting>
  <conditionalFormatting sqref="K9">
    <cfRule type="containsText" dxfId="550" priority="45" operator="containsText" text="SUNDAY">
      <formula>NOT(ISERROR(SEARCH("SUNDAY",K9)))</formula>
    </cfRule>
    <cfRule type="containsText" dxfId="549" priority="46" operator="containsText" text="HOLIDAY">
      <formula>NOT(ISERROR(SEARCH("HOLIDAY",K9)))</formula>
    </cfRule>
  </conditionalFormatting>
  <conditionalFormatting sqref="L5:L9">
    <cfRule type="containsText" dxfId="548" priority="41" operator="containsText" text="SUNDAY">
      <formula>NOT(ISERROR(SEARCH("SUNDAY",L5)))</formula>
    </cfRule>
    <cfRule type="containsText" dxfId="547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91647-85C1-479B-9CE0-C2833CC1EA02}">
  <dimension ref="A1:L26"/>
  <sheetViews>
    <sheetView zoomScaleNormal="100" zoomScaleSheetLayoutView="93" workbookViewId="0">
      <selection activeCell="L9" sqref="L9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48</v>
      </c>
      <c r="B3" s="7" t="s">
        <v>49</v>
      </c>
      <c r="C3" s="2" t="s">
        <v>584</v>
      </c>
      <c r="D3" s="2" t="s">
        <v>585</v>
      </c>
      <c r="E3" s="33">
        <v>46064</v>
      </c>
      <c r="F3" s="27">
        <f>C3-E3</f>
        <v>0.33045138888701331</v>
      </c>
      <c r="G3" s="27"/>
      <c r="H3" s="27"/>
      <c r="I3" s="27">
        <f t="shared" ref="I3:I13" si="0">D3-E3</f>
        <v>0.70874999999796273</v>
      </c>
      <c r="J3" s="8"/>
    </row>
    <row r="4" spans="1:12" x14ac:dyDescent="0.25">
      <c r="A4" s="6" t="s">
        <v>48</v>
      </c>
      <c r="B4" s="7" t="s">
        <v>49</v>
      </c>
      <c r="C4" s="2" t="s">
        <v>586</v>
      </c>
      <c r="D4" s="2" t="s">
        <v>587</v>
      </c>
      <c r="E4" s="33">
        <v>46065</v>
      </c>
      <c r="F4" s="27">
        <f t="shared" ref="F4:F6" si="1">C4-E4</f>
        <v>0.33028935184847796</v>
      </c>
      <c r="G4" s="27"/>
      <c r="H4" s="27"/>
      <c r="I4" s="27">
        <f t="shared" si="0"/>
        <v>0.70900462962890742</v>
      </c>
      <c r="J4" s="8"/>
    </row>
    <row r="5" spans="1:12" x14ac:dyDescent="0.25">
      <c r="A5" s="6" t="s">
        <v>48</v>
      </c>
      <c r="B5" s="7" t="s">
        <v>49</v>
      </c>
      <c r="C5" s="2"/>
      <c r="D5" s="2"/>
      <c r="E5" s="33">
        <v>46066</v>
      </c>
      <c r="F5" s="27"/>
      <c r="G5" s="27"/>
      <c r="H5" s="27"/>
      <c r="I5" s="27"/>
      <c r="J5" s="8" t="s">
        <v>156</v>
      </c>
      <c r="K5" s="3" t="s">
        <v>6</v>
      </c>
      <c r="L5" s="4">
        <v>0</v>
      </c>
    </row>
    <row r="6" spans="1:12" x14ac:dyDescent="0.25">
      <c r="A6" s="6" t="s">
        <v>48</v>
      </c>
      <c r="B6" s="7" t="s">
        <v>49</v>
      </c>
      <c r="C6" s="2" t="s">
        <v>588</v>
      </c>
      <c r="D6" s="2" t="s">
        <v>589</v>
      </c>
      <c r="E6" s="33">
        <v>46067</v>
      </c>
      <c r="F6" s="48">
        <f t="shared" si="1"/>
        <v>0.33931712962657912</v>
      </c>
      <c r="G6" s="27"/>
      <c r="H6" s="27"/>
      <c r="I6" s="27">
        <f t="shared" si="0"/>
        <v>0.70836805555882165</v>
      </c>
      <c r="J6" s="8"/>
      <c r="K6" s="3" t="s">
        <v>7</v>
      </c>
      <c r="L6" s="4">
        <v>2</v>
      </c>
    </row>
    <row r="7" spans="1:12" x14ac:dyDescent="0.25">
      <c r="A7" s="6" t="s">
        <v>48</v>
      </c>
      <c r="B7" s="7" t="s">
        <v>49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8</v>
      </c>
    </row>
    <row r="8" spans="1:12" x14ac:dyDescent="0.25">
      <c r="A8" s="6" t="s">
        <v>48</v>
      </c>
      <c r="B8" s="7" t="s">
        <v>49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48</v>
      </c>
      <c r="B9" s="7" t="s">
        <v>49</v>
      </c>
      <c r="C9" s="2" t="s">
        <v>590</v>
      </c>
      <c r="D9" s="2" t="s">
        <v>591</v>
      </c>
      <c r="E9" s="33">
        <v>46070</v>
      </c>
      <c r="F9" s="27">
        <f t="shared" ref="F9:F13" si="2">C9-E9</f>
        <v>0.18876157407066785</v>
      </c>
      <c r="G9" s="27"/>
      <c r="H9" s="27"/>
      <c r="I9" s="27">
        <f t="shared" si="0"/>
        <v>0.8814699074064265</v>
      </c>
      <c r="J9" s="8" t="s">
        <v>482</v>
      </c>
      <c r="K9" s="3" t="s">
        <v>10</v>
      </c>
      <c r="L9" s="4">
        <f>4+7.25</f>
        <v>11.25</v>
      </c>
    </row>
    <row r="10" spans="1:12" x14ac:dyDescent="0.25">
      <c r="A10" s="6" t="s">
        <v>48</v>
      </c>
      <c r="B10" s="7" t="s">
        <v>49</v>
      </c>
      <c r="C10" s="2" t="s">
        <v>592</v>
      </c>
      <c r="D10" s="2" t="s">
        <v>593</v>
      </c>
      <c r="E10" s="33">
        <v>46071</v>
      </c>
      <c r="F10" s="27">
        <f t="shared" si="2"/>
        <v>0.31512731481780065</v>
      </c>
      <c r="G10" s="27"/>
      <c r="H10" s="27"/>
      <c r="I10" s="27">
        <f t="shared" si="0"/>
        <v>0.70844907407445135</v>
      </c>
      <c r="J10" s="8"/>
    </row>
    <row r="11" spans="1:12" x14ac:dyDescent="0.25">
      <c r="A11" s="6" t="s">
        <v>48</v>
      </c>
      <c r="B11" s="7" t="s">
        <v>49</v>
      </c>
      <c r="C11" s="2" t="s">
        <v>594</v>
      </c>
      <c r="D11" s="2" t="s">
        <v>595</v>
      </c>
      <c r="E11" s="33">
        <v>46072</v>
      </c>
      <c r="F11" s="27">
        <f t="shared" si="2"/>
        <v>0.31851851852115942</v>
      </c>
      <c r="G11" s="27"/>
      <c r="H11" s="27"/>
      <c r="I11" s="27">
        <f t="shared" si="0"/>
        <v>0.708391203705105</v>
      </c>
      <c r="J11" s="8"/>
    </row>
    <row r="12" spans="1:12" x14ac:dyDescent="0.25">
      <c r="A12" s="6" t="s">
        <v>48</v>
      </c>
      <c r="B12" s="7" t="s">
        <v>49</v>
      </c>
      <c r="C12" s="2" t="s">
        <v>596</v>
      </c>
      <c r="D12" s="2" t="s">
        <v>597</v>
      </c>
      <c r="E12" s="33">
        <v>46073</v>
      </c>
      <c r="F12" s="27">
        <f t="shared" si="2"/>
        <v>0.14446759259590181</v>
      </c>
      <c r="G12" s="27"/>
      <c r="H12" s="27"/>
      <c r="I12" s="27">
        <f t="shared" si="0"/>
        <v>0.7121064814782585</v>
      </c>
      <c r="J12" s="8" t="s">
        <v>482</v>
      </c>
    </row>
    <row r="13" spans="1:12" x14ac:dyDescent="0.25">
      <c r="A13" s="6" t="s">
        <v>48</v>
      </c>
      <c r="B13" s="7" t="s">
        <v>49</v>
      </c>
      <c r="C13" s="2" t="s">
        <v>598</v>
      </c>
      <c r="D13" s="2" t="s">
        <v>599</v>
      </c>
      <c r="E13" s="33">
        <v>46074</v>
      </c>
      <c r="F13" s="27">
        <f t="shared" si="2"/>
        <v>0.31489583333313931</v>
      </c>
      <c r="G13" s="27"/>
      <c r="H13" s="27"/>
      <c r="I13" s="27">
        <f t="shared" si="0"/>
        <v>0.70841435185138835</v>
      </c>
      <c r="J13" s="8"/>
    </row>
    <row r="14" spans="1:12" x14ac:dyDescent="0.25">
      <c r="A14" s="6" t="s">
        <v>48</v>
      </c>
      <c r="B14" s="7" t="s">
        <v>49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48</v>
      </c>
      <c r="B15" s="7" t="s">
        <v>49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48</v>
      </c>
      <c r="B16" s="7" t="s">
        <v>49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48</v>
      </c>
      <c r="B17" s="7" t="s">
        <v>49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48</v>
      </c>
      <c r="B18" s="7" t="s">
        <v>49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A19" s="5"/>
      <c r="B19" s="2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42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C23" s="2"/>
      <c r="D23" s="2"/>
      <c r="E23" s="20"/>
    </row>
    <row r="24" spans="1:10" x14ac:dyDescent="0.25"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phoneticPr fontId="2" type="noConversion"/>
  <conditionalFormatting sqref="C1:E1048576 K1:L1048576">
    <cfRule type="cellIs" dxfId="546" priority="25" operator="equal">
      <formula>"UNDERTIME"</formula>
    </cfRule>
  </conditionalFormatting>
  <conditionalFormatting sqref="F3:H18">
    <cfRule type="cellIs" dxfId="545" priority="1" operator="equal">
      <formula>"UNDERTIME"</formula>
    </cfRule>
  </conditionalFormatting>
  <conditionalFormatting sqref="F1:J2 F19:J1048576">
    <cfRule type="cellIs" dxfId="544" priority="16" operator="equal">
      <formula>"UNDERTIME"</formula>
    </cfRule>
  </conditionalFormatting>
  <conditionalFormatting sqref="J1:J2 J14:J1048576">
    <cfRule type="cellIs" dxfId="543" priority="17" operator="equal">
      <formula>"UNDERTIME"</formula>
    </cfRule>
  </conditionalFormatting>
  <conditionalFormatting sqref="J1:J14">
    <cfRule type="cellIs" dxfId="542" priority="7" operator="equal">
      <formula>"OB"</formula>
    </cfRule>
  </conditionalFormatting>
  <conditionalFormatting sqref="J1:J1048576">
    <cfRule type="cellIs" dxfId="541" priority="6" operator="equal">
      <formula>"HOLIDAY"</formula>
    </cfRule>
    <cfRule type="cellIs" dxfId="540" priority="8" operator="equal">
      <formula>"RESTDAY"</formula>
    </cfRule>
    <cfRule type="cellIs" dxfId="539" priority="9" operator="equal">
      <formula>"HALF DAY"</formula>
    </cfRule>
    <cfRule type="cellIs" dxfId="538" priority="10" operator="equal">
      <formula>"ABSENT"</formula>
    </cfRule>
    <cfRule type="cellIs" dxfId="537" priority="12" operator="equal">
      <formula>"ABSENT"</formula>
    </cfRule>
  </conditionalFormatting>
  <conditionalFormatting sqref="J3:J14">
    <cfRule type="cellIs" dxfId="536" priority="11" operator="equal">
      <formula>"UNDERTIME"</formula>
    </cfRule>
  </conditionalFormatting>
  <conditionalFormatting sqref="J3:J18">
    <cfRule type="cellIs" dxfId="535" priority="5" operator="equal">
      <formula>"UNDERTIME"</formula>
    </cfRule>
  </conditionalFormatting>
  <conditionalFormatting sqref="J5:J1048576">
    <cfRule type="cellIs" dxfId="534" priority="14" operator="equal">
      <formula>"OB"</formula>
    </cfRule>
  </conditionalFormatting>
  <conditionalFormatting sqref="J6">
    <cfRule type="cellIs" dxfId="533" priority="4" operator="equal">
      <formula>"OB"</formula>
    </cfRule>
  </conditionalFormatting>
  <conditionalFormatting sqref="J7">
    <cfRule type="cellIs" dxfId="532" priority="15" operator="equal">
      <formula>"OB"</formula>
    </cfRule>
  </conditionalFormatting>
  <conditionalFormatting sqref="J13">
    <cfRule type="cellIs" dxfId="531" priority="13" operator="equal">
      <formula>"OB"</formula>
    </cfRule>
  </conditionalFormatting>
  <conditionalFormatting sqref="J14">
    <cfRule type="cellIs" dxfId="530" priority="3" operator="equal">
      <formula>"OB"</formula>
    </cfRule>
    <cfRule type="cellIs" dxfId="529" priority="18" operator="equal">
      <formula>"OB"</formula>
    </cfRule>
  </conditionalFormatting>
  <conditionalFormatting sqref="J14:J1048576">
    <cfRule type="cellIs" dxfId="528" priority="19" operator="equal">
      <formula>"OB"</formula>
    </cfRule>
  </conditionalFormatting>
  <conditionalFormatting sqref="J17:J18">
    <cfRule type="cellIs" dxfId="527" priority="20" operator="equal">
      <formula>"OB"</formula>
    </cfRule>
  </conditionalFormatting>
  <conditionalFormatting sqref="K6:K8">
    <cfRule type="containsText" dxfId="526" priority="43" operator="containsText" text="SUNDAY">
      <formula>NOT(ISERROR(SEARCH("SUNDAY",K6)))</formula>
    </cfRule>
    <cfRule type="containsText" dxfId="525" priority="44" operator="containsText" text="HOLIDAY">
      <formula>NOT(ISERROR(SEARCH("HOLIDAY",K6)))</formula>
    </cfRule>
  </conditionalFormatting>
  <conditionalFormatting sqref="K9">
    <cfRule type="containsText" dxfId="524" priority="45" operator="containsText" text="SUNDAY">
      <formula>NOT(ISERROR(SEARCH("SUNDAY",K9)))</formula>
    </cfRule>
    <cfRule type="containsText" dxfId="523" priority="46" operator="containsText" text="HOLIDAY">
      <formula>NOT(ISERROR(SEARCH("HOLIDAY",K9)))</formula>
    </cfRule>
  </conditionalFormatting>
  <conditionalFormatting sqref="L5:L9">
    <cfRule type="containsText" dxfId="522" priority="41" operator="containsText" text="SUNDAY">
      <formula>NOT(ISERROR(SEARCH("SUNDAY",L5)))</formula>
    </cfRule>
    <cfRule type="containsText" dxfId="521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2897-9589-4F33-9420-D754C3457679}">
  <dimension ref="A1:L26"/>
  <sheetViews>
    <sheetView zoomScaleNormal="100" zoomScaleSheetLayoutView="93" workbookViewId="0">
      <selection activeCell="L7" sqref="L7"/>
    </sheetView>
  </sheetViews>
  <sheetFormatPr defaultColWidth="8.85546875" defaultRowHeight="15" x14ac:dyDescent="0.25"/>
  <cols>
    <col min="1" max="1" width="13.28515625" style="1" bestFit="1" customWidth="1"/>
    <col min="2" max="2" width="23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103</v>
      </c>
      <c r="B3" s="7" t="s">
        <v>104</v>
      </c>
      <c r="C3" s="2" t="s">
        <v>601</v>
      </c>
      <c r="D3" s="2" t="s">
        <v>602</v>
      </c>
      <c r="E3" s="33">
        <v>46064</v>
      </c>
      <c r="F3" s="48">
        <f>C3-E3</f>
        <v>0.33686342592409346</v>
      </c>
      <c r="G3" s="27"/>
      <c r="H3" s="27"/>
      <c r="I3" s="27">
        <f t="shared" ref="I3:I13" si="0">D3-E3</f>
        <v>0.71015046296088258</v>
      </c>
      <c r="J3" s="8"/>
    </row>
    <row r="4" spans="1:12" x14ac:dyDescent="0.25">
      <c r="A4" s="6" t="s">
        <v>103</v>
      </c>
      <c r="B4" s="7" t="s">
        <v>104</v>
      </c>
      <c r="C4" s="2" t="s">
        <v>603</v>
      </c>
      <c r="D4" s="2" t="s">
        <v>618</v>
      </c>
      <c r="E4" s="33">
        <v>46065</v>
      </c>
      <c r="F4" s="27">
        <f t="shared" ref="F4:F6" si="1">C4-E4</f>
        <v>0.32834490740788169</v>
      </c>
      <c r="G4" s="27"/>
      <c r="H4" s="27"/>
      <c r="I4" s="27">
        <f t="shared" si="0"/>
        <v>0.71025462963007158</v>
      </c>
      <c r="J4" s="8"/>
    </row>
    <row r="5" spans="1:12" x14ac:dyDescent="0.25">
      <c r="A5" s="6" t="s">
        <v>103</v>
      </c>
      <c r="B5" s="7" t="s">
        <v>104</v>
      </c>
      <c r="C5" s="2" t="s">
        <v>604</v>
      </c>
      <c r="D5" s="2" t="s">
        <v>605</v>
      </c>
      <c r="E5" s="33">
        <v>46066</v>
      </c>
      <c r="F5" s="27">
        <f t="shared" si="1"/>
        <v>0.33031250000203727</v>
      </c>
      <c r="G5" s="27"/>
      <c r="H5" s="27"/>
      <c r="I5" s="27">
        <f t="shared" si="0"/>
        <v>0.70903935185197042</v>
      </c>
      <c r="J5" s="8"/>
      <c r="K5" s="3" t="s">
        <v>6</v>
      </c>
      <c r="L5" s="4">
        <v>0</v>
      </c>
    </row>
    <row r="6" spans="1:12" x14ac:dyDescent="0.25">
      <c r="A6" s="6" t="s">
        <v>103</v>
      </c>
      <c r="B6" s="7" t="s">
        <v>104</v>
      </c>
      <c r="C6" s="2" t="s">
        <v>606</v>
      </c>
      <c r="D6" s="2" t="s">
        <v>607</v>
      </c>
      <c r="E6" s="33">
        <v>46067</v>
      </c>
      <c r="F6" s="27">
        <f t="shared" si="1"/>
        <v>0.32856481481576338</v>
      </c>
      <c r="G6" s="27"/>
      <c r="H6" s="27"/>
      <c r="I6" s="27">
        <f t="shared" si="0"/>
        <v>0.71037037036876427</v>
      </c>
      <c r="J6" s="8"/>
      <c r="K6" s="3" t="s">
        <v>7</v>
      </c>
      <c r="L6" s="4">
        <v>1</v>
      </c>
    </row>
    <row r="7" spans="1:12" x14ac:dyDescent="0.25">
      <c r="A7" s="6" t="s">
        <v>103</v>
      </c>
      <c r="B7" s="7" t="s">
        <v>104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5</v>
      </c>
    </row>
    <row r="8" spans="1:12" x14ac:dyDescent="0.25">
      <c r="A8" s="6" t="s">
        <v>103</v>
      </c>
      <c r="B8" s="7" t="s">
        <v>104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103</v>
      </c>
      <c r="B9" s="7" t="s">
        <v>104</v>
      </c>
      <c r="C9" s="2" t="s">
        <v>608</v>
      </c>
      <c r="D9" s="2" t="s">
        <v>609</v>
      </c>
      <c r="E9" s="33">
        <v>46070</v>
      </c>
      <c r="F9" s="27">
        <f t="shared" ref="F9:F13" si="2">C9-E9</f>
        <v>0.32475694444292458</v>
      </c>
      <c r="G9" s="27"/>
      <c r="H9" s="27"/>
      <c r="I9" s="27">
        <f t="shared" si="0"/>
        <v>0.71015046296088258</v>
      </c>
      <c r="J9" s="8"/>
      <c r="K9" s="3" t="s">
        <v>10</v>
      </c>
      <c r="L9" s="4">
        <v>0</v>
      </c>
    </row>
    <row r="10" spans="1:12" x14ac:dyDescent="0.25">
      <c r="A10" s="6" t="s">
        <v>103</v>
      </c>
      <c r="B10" s="7" t="s">
        <v>104</v>
      </c>
      <c r="C10" s="2" t="s">
        <v>610</v>
      </c>
      <c r="D10" s="2" t="s">
        <v>611</v>
      </c>
      <c r="E10" s="33">
        <v>46071</v>
      </c>
      <c r="F10" s="27">
        <f t="shared" si="2"/>
        <v>0.32745370370685123</v>
      </c>
      <c r="G10" s="27"/>
      <c r="H10" s="27"/>
      <c r="I10" s="27">
        <f t="shared" si="0"/>
        <v>0.70940972222160781</v>
      </c>
      <c r="J10" s="8"/>
    </row>
    <row r="11" spans="1:12" x14ac:dyDescent="0.25">
      <c r="A11" s="6" t="s">
        <v>103</v>
      </c>
      <c r="B11" s="7" t="s">
        <v>104</v>
      </c>
      <c r="C11" s="2" t="s">
        <v>612</v>
      </c>
      <c r="D11" s="2" t="s">
        <v>613</v>
      </c>
      <c r="E11" s="33">
        <v>46072</v>
      </c>
      <c r="F11" s="27">
        <f t="shared" si="2"/>
        <v>0.328090277776937</v>
      </c>
      <c r="G11" s="27"/>
      <c r="H11" s="27"/>
      <c r="I11" s="27">
        <f t="shared" si="0"/>
        <v>0.7095254629603005</v>
      </c>
      <c r="J11" s="8"/>
    </row>
    <row r="12" spans="1:12" x14ac:dyDescent="0.25">
      <c r="A12" s="6" t="s">
        <v>103</v>
      </c>
      <c r="B12" s="7" t="s">
        <v>104</v>
      </c>
      <c r="C12" s="2" t="s">
        <v>614</v>
      </c>
      <c r="D12" s="2" t="s">
        <v>615</v>
      </c>
      <c r="E12" s="33">
        <v>46073</v>
      </c>
      <c r="F12" s="27">
        <f t="shared" si="2"/>
        <v>0.32603009259037208</v>
      </c>
      <c r="G12" s="27"/>
      <c r="H12" s="27"/>
      <c r="I12" s="27">
        <f t="shared" si="0"/>
        <v>0.70993055555300089</v>
      </c>
      <c r="J12" s="8"/>
    </row>
    <row r="13" spans="1:12" x14ac:dyDescent="0.25">
      <c r="A13" s="6" t="s">
        <v>103</v>
      </c>
      <c r="B13" s="7" t="s">
        <v>104</v>
      </c>
      <c r="C13" s="2" t="s">
        <v>616</v>
      </c>
      <c r="D13" s="2" t="s">
        <v>617</v>
      </c>
      <c r="E13" s="33">
        <v>46074</v>
      </c>
      <c r="F13" s="27">
        <f t="shared" si="2"/>
        <v>0.33168981481139781</v>
      </c>
      <c r="G13" s="27"/>
      <c r="H13" s="27"/>
      <c r="I13" s="27">
        <f t="shared" si="0"/>
        <v>0.71046296296117362</v>
      </c>
      <c r="J13" s="8"/>
    </row>
    <row r="14" spans="1:12" x14ac:dyDescent="0.25">
      <c r="A14" s="6" t="s">
        <v>103</v>
      </c>
      <c r="B14" s="7" t="s">
        <v>104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103</v>
      </c>
      <c r="B15" s="7" t="s">
        <v>104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103</v>
      </c>
      <c r="B16" s="7" t="s">
        <v>104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103</v>
      </c>
      <c r="B17" s="7" t="s">
        <v>104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103</v>
      </c>
      <c r="B18" s="7" t="s">
        <v>104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A19" s="5"/>
      <c r="B19" s="2"/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42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520" priority="25" operator="equal">
      <formula>"UNDERTIME"</formula>
    </cfRule>
  </conditionalFormatting>
  <conditionalFormatting sqref="F3:H18">
    <cfRule type="cellIs" dxfId="519" priority="1" operator="equal">
      <formula>"UNDERTIME"</formula>
    </cfRule>
  </conditionalFormatting>
  <conditionalFormatting sqref="F1:J2 F19:J1048576">
    <cfRule type="cellIs" dxfId="518" priority="16" operator="equal">
      <formula>"UNDERTIME"</formula>
    </cfRule>
  </conditionalFormatting>
  <conditionalFormatting sqref="J1:J2 J14:J1048576">
    <cfRule type="cellIs" dxfId="517" priority="17" operator="equal">
      <formula>"UNDERTIME"</formula>
    </cfRule>
  </conditionalFormatting>
  <conditionalFormatting sqref="J1:J14">
    <cfRule type="cellIs" dxfId="516" priority="7" operator="equal">
      <formula>"OB"</formula>
    </cfRule>
  </conditionalFormatting>
  <conditionalFormatting sqref="J1:J1048576">
    <cfRule type="cellIs" dxfId="515" priority="6" operator="equal">
      <formula>"HOLIDAY"</formula>
    </cfRule>
    <cfRule type="cellIs" dxfId="514" priority="8" operator="equal">
      <formula>"RESTDAY"</formula>
    </cfRule>
    <cfRule type="cellIs" dxfId="513" priority="9" operator="equal">
      <formula>"HALF DAY"</formula>
    </cfRule>
    <cfRule type="cellIs" dxfId="512" priority="10" operator="equal">
      <formula>"ABSENT"</formula>
    </cfRule>
    <cfRule type="cellIs" dxfId="511" priority="12" operator="equal">
      <formula>"ABSENT"</formula>
    </cfRule>
  </conditionalFormatting>
  <conditionalFormatting sqref="J3:J14">
    <cfRule type="cellIs" dxfId="510" priority="11" operator="equal">
      <formula>"UNDERTIME"</formula>
    </cfRule>
  </conditionalFormatting>
  <conditionalFormatting sqref="J3:J18">
    <cfRule type="cellIs" dxfId="509" priority="5" operator="equal">
      <formula>"UNDERTIME"</formula>
    </cfRule>
  </conditionalFormatting>
  <conditionalFormatting sqref="J5:J1048576">
    <cfRule type="cellIs" dxfId="508" priority="14" operator="equal">
      <formula>"OB"</formula>
    </cfRule>
  </conditionalFormatting>
  <conditionalFormatting sqref="J6">
    <cfRule type="cellIs" dxfId="507" priority="4" operator="equal">
      <formula>"OB"</formula>
    </cfRule>
  </conditionalFormatting>
  <conditionalFormatting sqref="J7">
    <cfRule type="cellIs" dxfId="506" priority="15" operator="equal">
      <formula>"OB"</formula>
    </cfRule>
  </conditionalFormatting>
  <conditionalFormatting sqref="J13">
    <cfRule type="cellIs" dxfId="505" priority="13" operator="equal">
      <formula>"OB"</formula>
    </cfRule>
  </conditionalFormatting>
  <conditionalFormatting sqref="J14">
    <cfRule type="cellIs" dxfId="504" priority="3" operator="equal">
      <formula>"OB"</formula>
    </cfRule>
    <cfRule type="cellIs" dxfId="503" priority="18" operator="equal">
      <formula>"OB"</formula>
    </cfRule>
  </conditionalFormatting>
  <conditionalFormatting sqref="J14:J1048576">
    <cfRule type="cellIs" dxfId="502" priority="19" operator="equal">
      <formula>"OB"</formula>
    </cfRule>
  </conditionalFormatting>
  <conditionalFormatting sqref="J17:J18">
    <cfRule type="cellIs" dxfId="501" priority="20" operator="equal">
      <formula>"OB"</formula>
    </cfRule>
  </conditionalFormatting>
  <conditionalFormatting sqref="K6:K8">
    <cfRule type="containsText" dxfId="500" priority="43" operator="containsText" text="SUNDAY">
      <formula>NOT(ISERROR(SEARCH("SUNDAY",K6)))</formula>
    </cfRule>
    <cfRule type="containsText" dxfId="499" priority="44" operator="containsText" text="HOLIDAY">
      <formula>NOT(ISERROR(SEARCH("HOLIDAY",K6)))</formula>
    </cfRule>
  </conditionalFormatting>
  <conditionalFormatting sqref="K9">
    <cfRule type="containsText" dxfId="498" priority="45" operator="containsText" text="SUNDAY">
      <formula>NOT(ISERROR(SEARCH("SUNDAY",K9)))</formula>
    </cfRule>
    <cfRule type="containsText" dxfId="497" priority="46" operator="containsText" text="HOLIDAY">
      <formula>NOT(ISERROR(SEARCH("HOLIDAY",K9)))</formula>
    </cfRule>
  </conditionalFormatting>
  <conditionalFormatting sqref="L5:L9">
    <cfRule type="containsText" dxfId="496" priority="41" operator="containsText" text="SUNDAY">
      <formula>NOT(ISERROR(SEARCH("SUNDAY",L5)))</formula>
    </cfRule>
    <cfRule type="containsText" dxfId="495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0B73-BC20-4CA5-91B8-681BACF00D89}">
  <dimension ref="A1:L26"/>
  <sheetViews>
    <sheetView zoomScaleNormal="100" zoomScaleSheetLayoutView="93" workbookViewId="0">
      <selection activeCell="L7" sqref="L7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76</v>
      </c>
      <c r="B3" s="7" t="s">
        <v>77</v>
      </c>
      <c r="C3" s="2" t="s">
        <v>619</v>
      </c>
      <c r="D3" s="2" t="s">
        <v>620</v>
      </c>
      <c r="E3" s="33">
        <v>46064</v>
      </c>
      <c r="F3" s="27">
        <f>C3-E3</f>
        <v>0.32795138889196096</v>
      </c>
      <c r="G3" s="27"/>
      <c r="H3" s="27"/>
      <c r="I3" s="27">
        <f t="shared" ref="I3:I13" si="0">D3-E3</f>
        <v>0.71684027777519077</v>
      </c>
      <c r="J3" s="8"/>
    </row>
    <row r="4" spans="1:12" x14ac:dyDescent="0.25">
      <c r="A4" s="6" t="s">
        <v>76</v>
      </c>
      <c r="B4" s="7" t="s">
        <v>77</v>
      </c>
      <c r="C4" s="2" t="s">
        <v>621</v>
      </c>
      <c r="D4" s="2" t="s">
        <v>622</v>
      </c>
      <c r="E4" s="33">
        <v>46065</v>
      </c>
      <c r="F4" s="27">
        <f t="shared" ref="F4:F6" si="1">C4-E4</f>
        <v>0.32942129629373085</v>
      </c>
      <c r="G4" s="27"/>
      <c r="H4" s="27"/>
      <c r="I4" s="27">
        <f t="shared" si="0"/>
        <v>0.71974537037021946</v>
      </c>
      <c r="J4" s="8"/>
    </row>
    <row r="5" spans="1:12" x14ac:dyDescent="0.25">
      <c r="A5" s="6" t="s">
        <v>76</v>
      </c>
      <c r="B5" s="7" t="s">
        <v>77</v>
      </c>
      <c r="C5" s="2" t="s">
        <v>623</v>
      </c>
      <c r="D5" s="2" t="s">
        <v>624</v>
      </c>
      <c r="E5" s="33">
        <v>46066</v>
      </c>
      <c r="F5" s="48">
        <f t="shared" si="1"/>
        <v>0.33436342592904111</v>
      </c>
      <c r="G5" s="27"/>
      <c r="H5" s="27"/>
      <c r="I5" s="27">
        <f t="shared" si="0"/>
        <v>0.71407407407241408</v>
      </c>
      <c r="J5" s="8"/>
      <c r="K5" s="3" t="s">
        <v>6</v>
      </c>
      <c r="L5" s="4">
        <v>0</v>
      </c>
    </row>
    <row r="6" spans="1:12" x14ac:dyDescent="0.25">
      <c r="A6" s="6" t="s">
        <v>76</v>
      </c>
      <c r="B6" s="7" t="s">
        <v>77</v>
      </c>
      <c r="C6" s="2" t="s">
        <v>625</v>
      </c>
      <c r="D6" s="2" t="s">
        <v>626</v>
      </c>
      <c r="E6" s="33">
        <v>46067</v>
      </c>
      <c r="F6" s="48">
        <f t="shared" si="1"/>
        <v>0.34341435185342561</v>
      </c>
      <c r="G6" s="27"/>
      <c r="H6" s="27"/>
      <c r="I6" s="27">
        <f t="shared" si="0"/>
        <v>0.71053240740729962</v>
      </c>
      <c r="J6" s="8"/>
      <c r="K6" s="3" t="s">
        <v>7</v>
      </c>
      <c r="L6" s="4">
        <v>1</v>
      </c>
    </row>
    <row r="7" spans="1:12" x14ac:dyDescent="0.25">
      <c r="A7" s="6" t="s">
        <v>76</v>
      </c>
      <c r="B7" s="7" t="s">
        <v>77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15</v>
      </c>
    </row>
    <row r="8" spans="1:12" x14ac:dyDescent="0.25">
      <c r="A8" s="6" t="s">
        <v>76</v>
      </c>
      <c r="B8" s="7" t="s">
        <v>77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76</v>
      </c>
      <c r="B9" s="7" t="s">
        <v>77</v>
      </c>
      <c r="C9" s="2" t="s">
        <v>627</v>
      </c>
      <c r="D9" s="2" t="s">
        <v>628</v>
      </c>
      <c r="E9" s="33">
        <v>46070</v>
      </c>
      <c r="F9" s="27">
        <f t="shared" ref="F9:F13" si="2">C9-E9</f>
        <v>0.32960648147854954</v>
      </c>
      <c r="G9" s="27"/>
      <c r="H9" s="27"/>
      <c r="I9" s="27">
        <f t="shared" si="0"/>
        <v>0.71126157407707069</v>
      </c>
      <c r="J9" s="8"/>
      <c r="K9" s="3" t="s">
        <v>10</v>
      </c>
      <c r="L9" s="4">
        <v>0</v>
      </c>
    </row>
    <row r="10" spans="1:12" x14ac:dyDescent="0.25">
      <c r="A10" s="6" t="s">
        <v>76</v>
      </c>
      <c r="B10" s="7" t="s">
        <v>77</v>
      </c>
      <c r="C10" s="2" t="s">
        <v>629</v>
      </c>
      <c r="D10" s="2" t="s">
        <v>630</v>
      </c>
      <c r="E10" s="33">
        <v>46071</v>
      </c>
      <c r="F10" s="27">
        <f t="shared" si="2"/>
        <v>0.33386574074393138</v>
      </c>
      <c r="G10" s="27"/>
      <c r="H10" s="27"/>
      <c r="I10" s="27">
        <f t="shared" si="0"/>
        <v>0.71247685185517184</v>
      </c>
      <c r="J10" s="8"/>
    </row>
    <row r="11" spans="1:12" x14ac:dyDescent="0.25">
      <c r="A11" s="6" t="s">
        <v>76</v>
      </c>
      <c r="B11" s="7" t="s">
        <v>77</v>
      </c>
      <c r="C11" s="2" t="s">
        <v>631</v>
      </c>
      <c r="D11" s="2" t="s">
        <v>632</v>
      </c>
      <c r="E11" s="33">
        <v>46072</v>
      </c>
      <c r="F11" s="27">
        <f t="shared" si="2"/>
        <v>0.328159722223063</v>
      </c>
      <c r="G11" s="27"/>
      <c r="H11" s="27"/>
      <c r="I11" s="27">
        <f t="shared" si="0"/>
        <v>0.77312499999970896</v>
      </c>
      <c r="J11" s="8"/>
    </row>
    <row r="12" spans="1:12" x14ac:dyDescent="0.25">
      <c r="A12" s="6" t="s">
        <v>76</v>
      </c>
      <c r="B12" s="7" t="s">
        <v>77</v>
      </c>
      <c r="C12" s="2" t="s">
        <v>633</v>
      </c>
      <c r="D12" s="2" t="s">
        <v>634</v>
      </c>
      <c r="E12" s="33">
        <v>46073</v>
      </c>
      <c r="F12" s="27">
        <f t="shared" si="2"/>
        <v>0.33172453703446081</v>
      </c>
      <c r="G12" s="27"/>
      <c r="H12" s="27"/>
      <c r="I12" s="27">
        <f t="shared" si="0"/>
        <v>0.71145833333139308</v>
      </c>
      <c r="J12" s="8"/>
    </row>
    <row r="13" spans="1:12" x14ac:dyDescent="0.25">
      <c r="A13" s="6" t="s">
        <v>76</v>
      </c>
      <c r="B13" s="7" t="s">
        <v>77</v>
      </c>
      <c r="C13" s="2" t="s">
        <v>635</v>
      </c>
      <c r="D13" s="2" t="s">
        <v>636</v>
      </c>
      <c r="E13" s="33">
        <v>46074</v>
      </c>
      <c r="F13" s="27">
        <f t="shared" si="2"/>
        <v>0.33233796296553919</v>
      </c>
      <c r="G13" s="27"/>
      <c r="H13" s="27"/>
      <c r="I13" s="27">
        <f t="shared" si="0"/>
        <v>0.71711805555241881</v>
      </c>
      <c r="J13" s="8"/>
    </row>
    <row r="14" spans="1:12" x14ac:dyDescent="0.25">
      <c r="A14" s="6" t="s">
        <v>76</v>
      </c>
      <c r="B14" s="7" t="s">
        <v>77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76</v>
      </c>
      <c r="B15" s="7" t="s">
        <v>77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76</v>
      </c>
      <c r="B16" s="7" t="s">
        <v>77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76</v>
      </c>
      <c r="B17" s="7" t="s">
        <v>77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76</v>
      </c>
      <c r="B18" s="7" t="s">
        <v>77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42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phoneticPr fontId="2" type="noConversion"/>
  <conditionalFormatting sqref="C1:E1048576 K1:L1048576">
    <cfRule type="cellIs" dxfId="494" priority="25" operator="equal">
      <formula>"UNDERTIME"</formula>
    </cfRule>
  </conditionalFormatting>
  <conditionalFormatting sqref="F3:H18">
    <cfRule type="cellIs" dxfId="493" priority="1" operator="equal">
      <formula>"UNDERTIME"</formula>
    </cfRule>
  </conditionalFormatting>
  <conditionalFormatting sqref="F1:J2 F19:J1048576">
    <cfRule type="cellIs" dxfId="492" priority="16" operator="equal">
      <formula>"UNDERTIME"</formula>
    </cfRule>
  </conditionalFormatting>
  <conditionalFormatting sqref="J1:J2 J14:J1048576">
    <cfRule type="cellIs" dxfId="491" priority="17" operator="equal">
      <formula>"UNDERTIME"</formula>
    </cfRule>
  </conditionalFormatting>
  <conditionalFormatting sqref="J1:J14">
    <cfRule type="cellIs" dxfId="490" priority="7" operator="equal">
      <formula>"OB"</formula>
    </cfRule>
  </conditionalFormatting>
  <conditionalFormatting sqref="J1:J1048576">
    <cfRule type="cellIs" dxfId="489" priority="6" operator="equal">
      <formula>"HOLIDAY"</formula>
    </cfRule>
    <cfRule type="cellIs" dxfId="488" priority="8" operator="equal">
      <formula>"RESTDAY"</formula>
    </cfRule>
    <cfRule type="cellIs" dxfId="487" priority="9" operator="equal">
      <formula>"HALF DAY"</formula>
    </cfRule>
    <cfRule type="cellIs" dxfId="486" priority="10" operator="equal">
      <formula>"ABSENT"</formula>
    </cfRule>
    <cfRule type="cellIs" dxfId="485" priority="12" operator="equal">
      <formula>"ABSENT"</formula>
    </cfRule>
  </conditionalFormatting>
  <conditionalFormatting sqref="J3:J14">
    <cfRule type="cellIs" dxfId="484" priority="11" operator="equal">
      <formula>"UNDERTIME"</formula>
    </cfRule>
  </conditionalFormatting>
  <conditionalFormatting sqref="J3:J18">
    <cfRule type="cellIs" dxfId="483" priority="5" operator="equal">
      <formula>"UNDERTIME"</formula>
    </cfRule>
  </conditionalFormatting>
  <conditionalFormatting sqref="J5:J1048576">
    <cfRule type="cellIs" dxfId="482" priority="14" operator="equal">
      <formula>"OB"</formula>
    </cfRule>
  </conditionalFormatting>
  <conditionalFormatting sqref="J6">
    <cfRule type="cellIs" dxfId="481" priority="4" operator="equal">
      <formula>"OB"</formula>
    </cfRule>
  </conditionalFormatting>
  <conditionalFormatting sqref="J7">
    <cfRule type="cellIs" dxfId="480" priority="15" operator="equal">
      <formula>"OB"</formula>
    </cfRule>
  </conditionalFormatting>
  <conditionalFormatting sqref="J13">
    <cfRule type="cellIs" dxfId="479" priority="13" operator="equal">
      <formula>"OB"</formula>
    </cfRule>
  </conditionalFormatting>
  <conditionalFormatting sqref="J14">
    <cfRule type="cellIs" dxfId="478" priority="3" operator="equal">
      <formula>"OB"</formula>
    </cfRule>
    <cfRule type="cellIs" dxfId="477" priority="18" operator="equal">
      <formula>"OB"</formula>
    </cfRule>
  </conditionalFormatting>
  <conditionalFormatting sqref="J14:J1048576">
    <cfRule type="cellIs" dxfId="476" priority="19" operator="equal">
      <formula>"OB"</formula>
    </cfRule>
  </conditionalFormatting>
  <conditionalFormatting sqref="J17:J18">
    <cfRule type="cellIs" dxfId="475" priority="20" operator="equal">
      <formula>"OB"</formula>
    </cfRule>
  </conditionalFormatting>
  <conditionalFormatting sqref="K6:K8">
    <cfRule type="containsText" dxfId="474" priority="43" operator="containsText" text="SUNDAY">
      <formula>NOT(ISERROR(SEARCH("SUNDAY",K6)))</formula>
    </cfRule>
    <cfRule type="containsText" dxfId="473" priority="44" operator="containsText" text="HOLIDAY">
      <formula>NOT(ISERROR(SEARCH("HOLIDAY",K6)))</formula>
    </cfRule>
  </conditionalFormatting>
  <conditionalFormatting sqref="K9">
    <cfRule type="containsText" dxfId="472" priority="45" operator="containsText" text="SUNDAY">
      <formula>NOT(ISERROR(SEARCH("SUNDAY",K9)))</formula>
    </cfRule>
    <cfRule type="containsText" dxfId="471" priority="46" operator="containsText" text="HOLIDAY">
      <formula>NOT(ISERROR(SEARCH("HOLIDAY",K9)))</formula>
    </cfRule>
  </conditionalFormatting>
  <conditionalFormatting sqref="L5:L9">
    <cfRule type="containsText" dxfId="470" priority="41" operator="containsText" text="SUNDAY">
      <formula>NOT(ISERROR(SEARCH("SUNDAY",L5)))</formula>
    </cfRule>
    <cfRule type="containsText" dxfId="469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639E-6CEF-4A69-91EC-02A254A10C81}">
  <dimension ref="A1:L26"/>
  <sheetViews>
    <sheetView zoomScaleNormal="100" zoomScaleSheetLayoutView="93" workbookViewId="0">
      <selection activeCell="L7" sqref="L7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34"/>
      <c r="B2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78</v>
      </c>
      <c r="B3" s="7" t="s">
        <v>79</v>
      </c>
      <c r="C3" s="2" t="s">
        <v>637</v>
      </c>
      <c r="D3" s="2" t="s">
        <v>638</v>
      </c>
      <c r="E3" s="33">
        <v>46064</v>
      </c>
      <c r="F3" s="48">
        <f>C3-E3</f>
        <v>0.33643518518510973</v>
      </c>
      <c r="G3" s="27"/>
      <c r="H3" s="27"/>
      <c r="I3" s="27">
        <f t="shared" ref="I3:I13" si="0">D3-E3</f>
        <v>0.71105324073869269</v>
      </c>
      <c r="J3" s="8"/>
    </row>
    <row r="4" spans="1:12" x14ac:dyDescent="0.25">
      <c r="A4" s="6" t="s">
        <v>78</v>
      </c>
      <c r="B4" s="7" t="s">
        <v>79</v>
      </c>
      <c r="C4" s="2" t="s">
        <v>639</v>
      </c>
      <c r="D4" s="2" t="s">
        <v>640</v>
      </c>
      <c r="E4" s="33">
        <v>46065</v>
      </c>
      <c r="F4" s="27">
        <f t="shared" ref="F4:F6" si="1">C4-E4</f>
        <v>0.33033564814832062</v>
      </c>
      <c r="G4" s="27"/>
      <c r="H4" s="27"/>
      <c r="I4" s="27">
        <f t="shared" si="0"/>
        <v>0.7097337962986785</v>
      </c>
      <c r="J4" s="8"/>
    </row>
    <row r="5" spans="1:12" x14ac:dyDescent="0.25">
      <c r="A5" s="6" t="s">
        <v>78</v>
      </c>
      <c r="B5" s="7" t="s">
        <v>79</v>
      </c>
      <c r="C5" s="2" t="s">
        <v>641</v>
      </c>
      <c r="D5" s="2" t="s">
        <v>642</v>
      </c>
      <c r="E5" s="33">
        <v>46066</v>
      </c>
      <c r="F5" s="27">
        <f t="shared" si="1"/>
        <v>0.3189699074064265</v>
      </c>
      <c r="G5" s="27"/>
      <c r="H5" s="27"/>
      <c r="I5" s="27">
        <f t="shared" si="0"/>
        <v>0.70923611111356877</v>
      </c>
      <c r="J5" s="8"/>
      <c r="K5" s="3" t="s">
        <v>6</v>
      </c>
      <c r="L5" s="4">
        <v>0</v>
      </c>
    </row>
    <row r="6" spans="1:12" x14ac:dyDescent="0.25">
      <c r="A6" s="6" t="s">
        <v>78</v>
      </c>
      <c r="B6" s="7" t="s">
        <v>79</v>
      </c>
      <c r="C6" s="2" t="s">
        <v>643</v>
      </c>
      <c r="D6" s="2" t="s">
        <v>644</v>
      </c>
      <c r="E6" s="33">
        <v>46067</v>
      </c>
      <c r="F6" s="27">
        <f t="shared" si="1"/>
        <v>0.32363425925723277</v>
      </c>
      <c r="G6" s="27"/>
      <c r="H6" s="27"/>
      <c r="I6" s="27">
        <f t="shared" si="0"/>
        <v>0.7109375</v>
      </c>
      <c r="J6" s="8"/>
      <c r="K6" s="3" t="s">
        <v>7</v>
      </c>
      <c r="L6" s="4">
        <v>1</v>
      </c>
    </row>
    <row r="7" spans="1:12" x14ac:dyDescent="0.25">
      <c r="A7" s="6" t="s">
        <v>78</v>
      </c>
      <c r="B7" s="7" t="s">
        <v>79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4</v>
      </c>
    </row>
    <row r="8" spans="1:12" x14ac:dyDescent="0.25">
      <c r="A8" s="6" t="s">
        <v>78</v>
      </c>
      <c r="B8" s="7" t="s">
        <v>79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78</v>
      </c>
      <c r="B9" s="7" t="s">
        <v>79</v>
      </c>
      <c r="C9" s="2" t="s">
        <v>645</v>
      </c>
      <c r="D9" s="2" t="s">
        <v>646</v>
      </c>
      <c r="E9" s="33">
        <v>46070</v>
      </c>
      <c r="F9" s="27">
        <f t="shared" ref="F9:F13" si="2">C9-E9</f>
        <v>0.31957175926072523</v>
      </c>
      <c r="G9" s="27"/>
      <c r="H9" s="27"/>
      <c r="I9" s="27">
        <f t="shared" si="0"/>
        <v>0.7095949074064265</v>
      </c>
      <c r="J9" s="8"/>
      <c r="K9" s="3" t="s">
        <v>10</v>
      </c>
      <c r="L9" s="4">
        <v>0</v>
      </c>
    </row>
    <row r="10" spans="1:12" x14ac:dyDescent="0.25">
      <c r="A10" s="6" t="s">
        <v>78</v>
      </c>
      <c r="B10" s="7" t="s">
        <v>79</v>
      </c>
      <c r="C10" s="2" t="s">
        <v>647</v>
      </c>
      <c r="D10" s="2" t="s">
        <v>648</v>
      </c>
      <c r="E10" s="33">
        <v>46071</v>
      </c>
      <c r="F10" s="27">
        <f t="shared" si="2"/>
        <v>0.31939814814541023</v>
      </c>
      <c r="G10" s="27"/>
      <c r="H10" s="27"/>
      <c r="I10" s="27">
        <f t="shared" si="0"/>
        <v>0.71006944444525288</v>
      </c>
      <c r="J10" s="8"/>
    </row>
    <row r="11" spans="1:12" x14ac:dyDescent="0.25">
      <c r="A11" s="6" t="s">
        <v>78</v>
      </c>
      <c r="B11" s="7" t="s">
        <v>79</v>
      </c>
      <c r="C11" s="2" t="s">
        <v>649</v>
      </c>
      <c r="D11" s="2" t="s">
        <v>650</v>
      </c>
      <c r="E11" s="33">
        <v>46072</v>
      </c>
      <c r="F11" s="27">
        <f t="shared" si="2"/>
        <v>0.31835648148262408</v>
      </c>
      <c r="G11" s="27"/>
      <c r="H11" s="27"/>
      <c r="I11" s="27">
        <f t="shared" si="0"/>
        <v>0.70957175926014315</v>
      </c>
      <c r="J11" s="8"/>
    </row>
    <row r="12" spans="1:12" x14ac:dyDescent="0.25">
      <c r="A12" s="6" t="s">
        <v>78</v>
      </c>
      <c r="B12" s="7" t="s">
        <v>79</v>
      </c>
      <c r="C12" s="2" t="s">
        <v>651</v>
      </c>
      <c r="D12" s="2" t="s">
        <v>652</v>
      </c>
      <c r="E12" s="33">
        <v>46073</v>
      </c>
      <c r="F12" s="27">
        <f t="shared" si="2"/>
        <v>0.31929398148349719</v>
      </c>
      <c r="G12" s="27"/>
      <c r="H12" s="27"/>
      <c r="I12" s="27">
        <f t="shared" si="0"/>
        <v>0.70920138889050577</v>
      </c>
      <c r="J12" s="8"/>
    </row>
    <row r="13" spans="1:12" x14ac:dyDescent="0.25">
      <c r="A13" s="6" t="s">
        <v>78</v>
      </c>
      <c r="B13" s="7" t="s">
        <v>79</v>
      </c>
      <c r="C13" s="2" t="s">
        <v>653</v>
      </c>
      <c r="D13" s="2" t="s">
        <v>654</v>
      </c>
      <c r="E13" s="33">
        <v>46074</v>
      </c>
      <c r="F13" s="27">
        <f t="shared" si="2"/>
        <v>0.31418981481692754</v>
      </c>
      <c r="G13" s="27"/>
      <c r="H13" s="27"/>
      <c r="I13" s="27">
        <f t="shared" si="0"/>
        <v>0.71010416666831588</v>
      </c>
      <c r="J13" s="8"/>
    </row>
    <row r="14" spans="1:12" x14ac:dyDescent="0.25">
      <c r="A14" s="6" t="s">
        <v>78</v>
      </c>
      <c r="B14" s="7" t="s">
        <v>79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78</v>
      </c>
      <c r="B15" s="7" t="s">
        <v>79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78</v>
      </c>
      <c r="B16" s="7" t="s">
        <v>79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78</v>
      </c>
      <c r="B17" s="7" t="s">
        <v>79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78</v>
      </c>
      <c r="B18" s="7" t="s">
        <v>79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468" priority="25" operator="equal">
      <formula>"UNDERTIME"</formula>
    </cfRule>
  </conditionalFormatting>
  <conditionalFormatting sqref="F3:H18">
    <cfRule type="cellIs" dxfId="467" priority="1" operator="equal">
      <formula>"UNDERTIME"</formula>
    </cfRule>
  </conditionalFormatting>
  <conditionalFormatting sqref="F1:J2 F19:J1048576">
    <cfRule type="cellIs" dxfId="466" priority="16" operator="equal">
      <formula>"UNDERTIME"</formula>
    </cfRule>
  </conditionalFormatting>
  <conditionalFormatting sqref="J1:J2 J14:J1048576">
    <cfRule type="cellIs" dxfId="465" priority="17" operator="equal">
      <formula>"UNDERTIME"</formula>
    </cfRule>
  </conditionalFormatting>
  <conditionalFormatting sqref="J1:J14">
    <cfRule type="cellIs" dxfId="464" priority="7" operator="equal">
      <formula>"OB"</formula>
    </cfRule>
  </conditionalFormatting>
  <conditionalFormatting sqref="J1:J1048576">
    <cfRule type="cellIs" dxfId="463" priority="6" operator="equal">
      <formula>"HOLIDAY"</formula>
    </cfRule>
    <cfRule type="cellIs" dxfId="462" priority="8" operator="equal">
      <formula>"RESTDAY"</formula>
    </cfRule>
    <cfRule type="cellIs" dxfId="461" priority="9" operator="equal">
      <formula>"HALF DAY"</formula>
    </cfRule>
    <cfRule type="cellIs" dxfId="460" priority="10" operator="equal">
      <formula>"ABSENT"</formula>
    </cfRule>
    <cfRule type="cellIs" dxfId="459" priority="12" operator="equal">
      <formula>"ABSENT"</formula>
    </cfRule>
  </conditionalFormatting>
  <conditionalFormatting sqref="J3:J14">
    <cfRule type="cellIs" dxfId="458" priority="11" operator="equal">
      <formula>"UNDERTIME"</formula>
    </cfRule>
  </conditionalFormatting>
  <conditionalFormatting sqref="J3:J18">
    <cfRule type="cellIs" dxfId="457" priority="5" operator="equal">
      <formula>"UNDERTIME"</formula>
    </cfRule>
  </conditionalFormatting>
  <conditionalFormatting sqref="J5:J1048576">
    <cfRule type="cellIs" dxfId="456" priority="14" operator="equal">
      <formula>"OB"</formula>
    </cfRule>
  </conditionalFormatting>
  <conditionalFormatting sqref="J6">
    <cfRule type="cellIs" dxfId="455" priority="4" operator="equal">
      <formula>"OB"</formula>
    </cfRule>
  </conditionalFormatting>
  <conditionalFormatting sqref="J7">
    <cfRule type="cellIs" dxfId="454" priority="15" operator="equal">
      <formula>"OB"</formula>
    </cfRule>
  </conditionalFormatting>
  <conditionalFormatting sqref="J13">
    <cfRule type="cellIs" dxfId="453" priority="13" operator="equal">
      <formula>"OB"</formula>
    </cfRule>
  </conditionalFormatting>
  <conditionalFormatting sqref="J14">
    <cfRule type="cellIs" dxfId="452" priority="3" operator="equal">
      <formula>"OB"</formula>
    </cfRule>
    <cfRule type="cellIs" dxfId="451" priority="18" operator="equal">
      <formula>"OB"</formula>
    </cfRule>
  </conditionalFormatting>
  <conditionalFormatting sqref="J14:J1048576">
    <cfRule type="cellIs" dxfId="450" priority="19" operator="equal">
      <formula>"OB"</formula>
    </cfRule>
  </conditionalFormatting>
  <conditionalFormatting sqref="J17:J18">
    <cfRule type="cellIs" dxfId="449" priority="20" operator="equal">
      <formula>"OB"</formula>
    </cfRule>
  </conditionalFormatting>
  <conditionalFormatting sqref="K6:K8">
    <cfRule type="containsText" dxfId="448" priority="43" operator="containsText" text="SUNDAY">
      <formula>NOT(ISERROR(SEARCH("SUNDAY",K6)))</formula>
    </cfRule>
    <cfRule type="containsText" dxfId="447" priority="44" operator="containsText" text="HOLIDAY">
      <formula>NOT(ISERROR(SEARCH("HOLIDAY",K6)))</formula>
    </cfRule>
  </conditionalFormatting>
  <conditionalFormatting sqref="K9">
    <cfRule type="containsText" dxfId="446" priority="45" operator="containsText" text="SUNDAY">
      <formula>NOT(ISERROR(SEARCH("SUNDAY",K9)))</formula>
    </cfRule>
    <cfRule type="containsText" dxfId="445" priority="46" operator="containsText" text="HOLIDAY">
      <formula>NOT(ISERROR(SEARCH("HOLIDAY",K9)))</formula>
    </cfRule>
  </conditionalFormatting>
  <conditionalFormatting sqref="L5:L9">
    <cfRule type="containsText" dxfId="444" priority="41" operator="containsText" text="SUNDAY">
      <formula>NOT(ISERROR(SEARCH("SUNDAY",L5)))</formula>
    </cfRule>
    <cfRule type="containsText" dxfId="443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0C8BE-DEAA-462A-8073-CC2D14E28A97}">
  <dimension ref="A1:N26"/>
  <sheetViews>
    <sheetView zoomScaleNormal="100" zoomScaleSheetLayoutView="93" workbookViewId="0">
      <selection activeCell="L6" sqref="L6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34"/>
      <c r="B2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50</v>
      </c>
      <c r="B3" s="7" t="s">
        <v>51</v>
      </c>
      <c r="C3" s="2" t="s">
        <v>655</v>
      </c>
      <c r="D3" s="2" t="s">
        <v>656</v>
      </c>
      <c r="E3" s="33">
        <v>46064</v>
      </c>
      <c r="F3" s="27">
        <f>C3-E3</f>
        <v>0.31971064814570127</v>
      </c>
      <c r="G3" s="27"/>
      <c r="H3" s="27"/>
      <c r="I3" s="27">
        <f t="shared" ref="I3:I13" si="0">D3-E3</f>
        <v>0.71276620370190358</v>
      </c>
      <c r="J3" s="8"/>
    </row>
    <row r="4" spans="1:12" x14ac:dyDescent="0.25">
      <c r="A4" s="6" t="s">
        <v>50</v>
      </c>
      <c r="B4" s="7" t="s">
        <v>51</v>
      </c>
      <c r="C4" s="2" t="s">
        <v>657</v>
      </c>
      <c r="D4" s="2" t="s">
        <v>658</v>
      </c>
      <c r="E4" s="33">
        <v>46065</v>
      </c>
      <c r="F4" s="27">
        <f t="shared" ref="F4:F6" si="1">C4-E4</f>
        <v>0.32008101851533866</v>
      </c>
      <c r="G4" s="27"/>
      <c r="H4" s="27"/>
      <c r="I4" s="27">
        <f t="shared" si="0"/>
        <v>0.70975694444496185</v>
      </c>
      <c r="J4" s="8"/>
    </row>
    <row r="5" spans="1:12" x14ac:dyDescent="0.25">
      <c r="A5" s="6" t="s">
        <v>50</v>
      </c>
      <c r="B5" s="7" t="s">
        <v>51</v>
      </c>
      <c r="C5" s="2" t="s">
        <v>659</v>
      </c>
      <c r="D5" s="2" t="s">
        <v>660</v>
      </c>
      <c r="E5" s="33">
        <v>46066</v>
      </c>
      <c r="F5" s="27">
        <f t="shared" si="1"/>
        <v>0.31888888889079681</v>
      </c>
      <c r="G5" s="27"/>
      <c r="H5" s="27"/>
      <c r="I5" s="27">
        <f t="shared" si="0"/>
        <v>0.71009259259153623</v>
      </c>
      <c r="J5" s="8"/>
      <c r="K5" s="3" t="s">
        <v>6</v>
      </c>
      <c r="L5" s="4">
        <v>0</v>
      </c>
    </row>
    <row r="6" spans="1:12" x14ac:dyDescent="0.25">
      <c r="A6" s="6" t="s">
        <v>50</v>
      </c>
      <c r="B6" s="7" t="s">
        <v>51</v>
      </c>
      <c r="C6" s="2" t="s">
        <v>661</v>
      </c>
      <c r="D6" s="2" t="s">
        <v>662</v>
      </c>
      <c r="E6" s="33">
        <v>46067</v>
      </c>
      <c r="F6" s="27">
        <f t="shared" si="1"/>
        <v>0.33151620370335877</v>
      </c>
      <c r="G6" s="27"/>
      <c r="H6" s="27"/>
      <c r="I6" s="27">
        <f t="shared" si="0"/>
        <v>0.70924768518307246</v>
      </c>
      <c r="J6" s="8"/>
      <c r="K6" s="3" t="s">
        <v>7</v>
      </c>
      <c r="L6" s="4">
        <v>1</v>
      </c>
    </row>
    <row r="7" spans="1:12" x14ac:dyDescent="0.25">
      <c r="A7" s="6" t="s">
        <v>50</v>
      </c>
      <c r="B7" s="7" t="s">
        <v>51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50</v>
      </c>
      <c r="B8" s="7" t="s">
        <v>51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50</v>
      </c>
      <c r="B9" s="7" t="s">
        <v>51</v>
      </c>
      <c r="C9" s="2" t="s">
        <v>663</v>
      </c>
      <c r="D9" s="2" t="s">
        <v>664</v>
      </c>
      <c r="E9" s="33">
        <v>46070</v>
      </c>
      <c r="F9" s="27">
        <f t="shared" ref="F9:F13" si="2">C9-E9</f>
        <v>0.31969907407619758</v>
      </c>
      <c r="G9" s="27"/>
      <c r="H9" s="27"/>
      <c r="I9" s="27">
        <f t="shared" si="0"/>
        <v>0.70880787036730908</v>
      </c>
      <c r="J9" s="8"/>
      <c r="K9" s="3" t="s">
        <v>10</v>
      </c>
      <c r="L9" s="4">
        <v>0</v>
      </c>
    </row>
    <row r="10" spans="1:12" x14ac:dyDescent="0.25">
      <c r="A10" s="6" t="s">
        <v>50</v>
      </c>
      <c r="B10" s="7" t="s">
        <v>51</v>
      </c>
      <c r="C10" s="2" t="s">
        <v>665</v>
      </c>
      <c r="D10" s="2" t="s">
        <v>666</v>
      </c>
      <c r="E10" s="33">
        <v>46071</v>
      </c>
      <c r="F10" s="27">
        <f t="shared" si="2"/>
        <v>0.31952546296088258</v>
      </c>
      <c r="G10" s="27"/>
      <c r="H10" s="27"/>
      <c r="I10" s="27">
        <f t="shared" si="0"/>
        <v>0.70936342592904111</v>
      </c>
      <c r="J10" s="8"/>
    </row>
    <row r="11" spans="1:12" x14ac:dyDescent="0.25">
      <c r="A11" s="6" t="s">
        <v>50</v>
      </c>
      <c r="B11" s="7" t="s">
        <v>51</v>
      </c>
      <c r="C11" s="2" t="s">
        <v>667</v>
      </c>
      <c r="D11" s="2" t="s">
        <v>668</v>
      </c>
      <c r="E11" s="33">
        <v>46072</v>
      </c>
      <c r="F11" s="27">
        <f t="shared" si="2"/>
        <v>0.31841435185197042</v>
      </c>
      <c r="G11" s="27"/>
      <c r="H11" s="27"/>
      <c r="I11" s="27">
        <f t="shared" si="0"/>
        <v>0.70961805555270985</v>
      </c>
      <c r="J11" s="8"/>
    </row>
    <row r="12" spans="1:12" x14ac:dyDescent="0.25">
      <c r="A12" s="6" t="s">
        <v>50</v>
      </c>
      <c r="B12" s="7" t="s">
        <v>51</v>
      </c>
      <c r="C12" s="2" t="s">
        <v>669</v>
      </c>
      <c r="D12" s="2" t="s">
        <v>670</v>
      </c>
      <c r="E12" s="33">
        <v>46073</v>
      </c>
      <c r="F12" s="27">
        <f t="shared" si="2"/>
        <v>0.31939814814541023</v>
      </c>
      <c r="G12" s="27"/>
      <c r="H12" s="27"/>
      <c r="I12" s="27">
        <f t="shared" si="0"/>
        <v>0.70892361111327773</v>
      </c>
      <c r="J12" s="8"/>
    </row>
    <row r="13" spans="1:12" x14ac:dyDescent="0.25">
      <c r="A13" s="6" t="s">
        <v>50</v>
      </c>
      <c r="B13" s="7" t="s">
        <v>51</v>
      </c>
      <c r="C13" s="2" t="s">
        <v>671</v>
      </c>
      <c r="D13" s="2" t="s">
        <v>672</v>
      </c>
      <c r="E13" s="33">
        <v>46074</v>
      </c>
      <c r="F13" s="27">
        <f t="shared" si="2"/>
        <v>0.31416666666336823</v>
      </c>
      <c r="G13" s="27"/>
      <c r="H13" s="27"/>
      <c r="I13" s="27">
        <f t="shared" si="0"/>
        <v>0.71245370370161254</v>
      </c>
      <c r="J13" s="8"/>
    </row>
    <row r="14" spans="1:12" x14ac:dyDescent="0.25">
      <c r="A14" s="6" t="s">
        <v>50</v>
      </c>
      <c r="B14" s="7" t="s">
        <v>51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50</v>
      </c>
      <c r="B15" s="7" t="s">
        <v>51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50</v>
      </c>
      <c r="B16" s="7" t="s">
        <v>51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4" x14ac:dyDescent="0.25">
      <c r="A17" s="6" t="s">
        <v>50</v>
      </c>
      <c r="B17" s="7" t="s">
        <v>51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4" ht="15.75" customHeight="1" x14ac:dyDescent="0.25">
      <c r="A18" s="6" t="s">
        <v>50</v>
      </c>
      <c r="B18" s="7" t="s">
        <v>51</v>
      </c>
      <c r="C18" s="28"/>
      <c r="D18" s="28"/>
      <c r="E18" s="33"/>
      <c r="F18" s="27"/>
      <c r="G18" s="29"/>
      <c r="H18" s="29"/>
      <c r="I18" s="27"/>
      <c r="J18" s="8"/>
    </row>
    <row r="19" spans="1:14" x14ac:dyDescent="0.25">
      <c r="C19" s="2"/>
      <c r="D19" s="2"/>
      <c r="E19" s="33"/>
      <c r="F19" s="27"/>
      <c r="I19" s="27"/>
      <c r="J19" s="8"/>
    </row>
    <row r="20" spans="1:14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4" x14ac:dyDescent="0.25">
      <c r="B21" s="2"/>
      <c r="H21" s="38"/>
    </row>
    <row r="22" spans="1:14" x14ac:dyDescent="0.25">
      <c r="B22" s="2"/>
      <c r="C22" s="2"/>
      <c r="D22" s="2"/>
      <c r="E22" s="20"/>
    </row>
    <row r="23" spans="1:14" x14ac:dyDescent="0.25">
      <c r="B23" s="2"/>
      <c r="C23" s="2"/>
      <c r="D23" s="2"/>
      <c r="E23" s="20"/>
    </row>
    <row r="24" spans="1:14" x14ac:dyDescent="0.25">
      <c r="B24" s="2"/>
      <c r="C24" s="2"/>
      <c r="D24" s="2"/>
      <c r="E24" s="20"/>
      <c r="N24" t="s">
        <v>106</v>
      </c>
    </row>
    <row r="25" spans="1:14" x14ac:dyDescent="0.25">
      <c r="C25" s="2"/>
      <c r="D25" s="2"/>
      <c r="E25" s="20"/>
    </row>
    <row r="26" spans="1:14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442" priority="25" operator="equal">
      <formula>"UNDERTIME"</formula>
    </cfRule>
  </conditionalFormatting>
  <conditionalFormatting sqref="F3:H18">
    <cfRule type="cellIs" dxfId="441" priority="1" operator="equal">
      <formula>"UNDERTIME"</formula>
    </cfRule>
  </conditionalFormatting>
  <conditionalFormatting sqref="F1:J2 F19:J1048576">
    <cfRule type="cellIs" dxfId="440" priority="16" operator="equal">
      <formula>"UNDERTIME"</formula>
    </cfRule>
  </conditionalFormatting>
  <conditionalFormatting sqref="J1:J2 J14:J1048576">
    <cfRule type="cellIs" dxfId="439" priority="17" operator="equal">
      <formula>"UNDERTIME"</formula>
    </cfRule>
  </conditionalFormatting>
  <conditionalFormatting sqref="J1:J14">
    <cfRule type="cellIs" dxfId="438" priority="7" operator="equal">
      <formula>"OB"</formula>
    </cfRule>
  </conditionalFormatting>
  <conditionalFormatting sqref="J1:J1048576">
    <cfRule type="cellIs" dxfId="437" priority="6" operator="equal">
      <formula>"HOLIDAY"</formula>
    </cfRule>
    <cfRule type="cellIs" dxfId="436" priority="8" operator="equal">
      <formula>"RESTDAY"</formula>
    </cfRule>
    <cfRule type="cellIs" dxfId="435" priority="9" operator="equal">
      <formula>"HALF DAY"</formula>
    </cfRule>
    <cfRule type="cellIs" dxfId="434" priority="10" operator="equal">
      <formula>"ABSENT"</formula>
    </cfRule>
    <cfRule type="cellIs" dxfId="433" priority="12" operator="equal">
      <formula>"ABSENT"</formula>
    </cfRule>
  </conditionalFormatting>
  <conditionalFormatting sqref="J3:J14">
    <cfRule type="cellIs" dxfId="432" priority="11" operator="equal">
      <formula>"UNDERTIME"</formula>
    </cfRule>
  </conditionalFormatting>
  <conditionalFormatting sqref="J3:J18">
    <cfRule type="cellIs" dxfId="431" priority="5" operator="equal">
      <formula>"UNDERTIME"</formula>
    </cfRule>
  </conditionalFormatting>
  <conditionalFormatting sqref="J5:J1048576">
    <cfRule type="cellIs" dxfId="430" priority="14" operator="equal">
      <formula>"OB"</formula>
    </cfRule>
  </conditionalFormatting>
  <conditionalFormatting sqref="J6">
    <cfRule type="cellIs" dxfId="429" priority="4" operator="equal">
      <formula>"OB"</formula>
    </cfRule>
  </conditionalFormatting>
  <conditionalFormatting sqref="J7">
    <cfRule type="cellIs" dxfId="428" priority="15" operator="equal">
      <formula>"OB"</formula>
    </cfRule>
  </conditionalFormatting>
  <conditionalFormatting sqref="J13">
    <cfRule type="cellIs" dxfId="427" priority="13" operator="equal">
      <formula>"OB"</formula>
    </cfRule>
  </conditionalFormatting>
  <conditionalFormatting sqref="J14">
    <cfRule type="cellIs" dxfId="426" priority="3" operator="equal">
      <formula>"OB"</formula>
    </cfRule>
    <cfRule type="cellIs" dxfId="425" priority="18" operator="equal">
      <formula>"OB"</formula>
    </cfRule>
  </conditionalFormatting>
  <conditionalFormatting sqref="J14:J1048576">
    <cfRule type="cellIs" dxfId="424" priority="19" operator="equal">
      <formula>"OB"</formula>
    </cfRule>
  </conditionalFormatting>
  <conditionalFormatting sqref="J17:J18">
    <cfRule type="cellIs" dxfId="423" priority="20" operator="equal">
      <formula>"OB"</formula>
    </cfRule>
  </conditionalFormatting>
  <conditionalFormatting sqref="K6:K8">
    <cfRule type="containsText" dxfId="422" priority="43" operator="containsText" text="SUNDAY">
      <formula>NOT(ISERROR(SEARCH("SUNDAY",K6)))</formula>
    </cfRule>
    <cfRule type="containsText" dxfId="421" priority="44" operator="containsText" text="HOLIDAY">
      <formula>NOT(ISERROR(SEARCH("HOLIDAY",K6)))</formula>
    </cfRule>
  </conditionalFormatting>
  <conditionalFormatting sqref="K9">
    <cfRule type="containsText" dxfId="420" priority="45" operator="containsText" text="SUNDAY">
      <formula>NOT(ISERROR(SEARCH("SUNDAY",K9)))</formula>
    </cfRule>
    <cfRule type="containsText" dxfId="419" priority="46" operator="containsText" text="HOLIDAY">
      <formula>NOT(ISERROR(SEARCH("HOLIDAY",K9)))</formula>
    </cfRule>
  </conditionalFormatting>
  <conditionalFormatting sqref="L5:L9">
    <cfRule type="containsText" dxfId="418" priority="41" operator="containsText" text="SUNDAY">
      <formula>NOT(ISERROR(SEARCH("SUNDAY",L5)))</formula>
    </cfRule>
    <cfRule type="containsText" dxfId="417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A8F0-6B3F-4941-B4CC-CC40E17E8F1A}">
  <dimension ref="A1:L26"/>
  <sheetViews>
    <sheetView zoomScaleNormal="100" zoomScaleSheetLayoutView="93" workbookViewId="0">
      <selection activeCell="L6" sqref="L6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34"/>
      <c r="B2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97</v>
      </c>
      <c r="B3" s="7" t="s">
        <v>99</v>
      </c>
      <c r="C3" s="2" t="s">
        <v>673</v>
      </c>
      <c r="D3" s="2" t="s">
        <v>674</v>
      </c>
      <c r="E3" s="33">
        <v>46064</v>
      </c>
      <c r="F3" s="27">
        <f>C3-E3</f>
        <v>0.30671296296350192</v>
      </c>
      <c r="G3" s="27"/>
      <c r="H3" s="27"/>
      <c r="I3" s="27">
        <f t="shared" ref="I3:I13" si="0">D3-E3</f>
        <v>0.70899305555212777</v>
      </c>
      <c r="J3" s="8"/>
    </row>
    <row r="4" spans="1:12" x14ac:dyDescent="0.25">
      <c r="A4" s="6" t="s">
        <v>97</v>
      </c>
      <c r="B4" s="7" t="s">
        <v>99</v>
      </c>
      <c r="C4" s="2" t="s">
        <v>675</v>
      </c>
      <c r="D4" s="2" t="s">
        <v>676</v>
      </c>
      <c r="E4" s="33">
        <v>46065</v>
      </c>
      <c r="F4" s="27">
        <f t="shared" ref="F4:F6" si="1">C4-E4</f>
        <v>0.31998842592292931</v>
      </c>
      <c r="G4" s="27"/>
      <c r="H4" s="27"/>
      <c r="I4" s="27">
        <f t="shared" si="0"/>
        <v>0.70881944444408873</v>
      </c>
      <c r="J4" s="8"/>
    </row>
    <row r="5" spans="1:12" x14ac:dyDescent="0.25">
      <c r="A5" s="6" t="s">
        <v>97</v>
      </c>
      <c r="B5" s="7" t="s">
        <v>99</v>
      </c>
      <c r="C5" s="2" t="s">
        <v>677</v>
      </c>
      <c r="D5" s="2" t="s">
        <v>678</v>
      </c>
      <c r="E5" s="33">
        <v>46066</v>
      </c>
      <c r="F5" s="27">
        <f t="shared" si="1"/>
        <v>0.31788194444379769</v>
      </c>
      <c r="G5" s="27"/>
      <c r="H5" s="27"/>
      <c r="I5" s="27">
        <f t="shared" si="0"/>
        <v>0.70912037036760012</v>
      </c>
      <c r="J5" s="8"/>
      <c r="K5" s="3" t="s">
        <v>6</v>
      </c>
      <c r="L5" s="4">
        <v>0</v>
      </c>
    </row>
    <row r="6" spans="1:12" x14ac:dyDescent="0.25">
      <c r="A6" s="6" t="s">
        <v>97</v>
      </c>
      <c r="B6" s="7" t="s">
        <v>99</v>
      </c>
      <c r="C6" s="2" t="s">
        <v>679</v>
      </c>
      <c r="D6" s="2" t="s">
        <v>680</v>
      </c>
      <c r="E6" s="33">
        <v>46067</v>
      </c>
      <c r="F6" s="27">
        <f t="shared" si="1"/>
        <v>0.31620370370364981</v>
      </c>
      <c r="G6" s="27"/>
      <c r="H6" s="27"/>
      <c r="I6" s="27">
        <f t="shared" si="0"/>
        <v>0.70907407407503342</v>
      </c>
      <c r="J6" s="8"/>
      <c r="K6" s="3" t="s">
        <v>7</v>
      </c>
      <c r="L6" s="4">
        <v>1</v>
      </c>
    </row>
    <row r="7" spans="1:12" x14ac:dyDescent="0.25">
      <c r="A7" s="6" t="s">
        <v>97</v>
      </c>
      <c r="B7" s="7" t="s">
        <v>99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97</v>
      </c>
      <c r="B8" s="7" t="s">
        <v>99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97</v>
      </c>
      <c r="B9" s="7" t="s">
        <v>99</v>
      </c>
      <c r="C9" s="2" t="s">
        <v>681</v>
      </c>
      <c r="D9" s="2" t="s">
        <v>682</v>
      </c>
      <c r="E9" s="33">
        <v>46070</v>
      </c>
      <c r="F9" s="27">
        <f t="shared" ref="F9:F13" si="2">C9-E9</f>
        <v>0.30521990740817273</v>
      </c>
      <c r="G9" s="27"/>
      <c r="H9" s="27"/>
      <c r="I9" s="27">
        <f t="shared" si="0"/>
        <v>0.70844907407445135</v>
      </c>
      <c r="J9" s="8"/>
      <c r="K9" s="3" t="s">
        <v>10</v>
      </c>
      <c r="L9" s="4">
        <v>0</v>
      </c>
    </row>
    <row r="10" spans="1:12" x14ac:dyDescent="0.25">
      <c r="A10" s="6" t="s">
        <v>97</v>
      </c>
      <c r="B10" s="7" t="s">
        <v>99</v>
      </c>
      <c r="C10" s="2" t="s">
        <v>683</v>
      </c>
      <c r="D10" s="2" t="s">
        <v>684</v>
      </c>
      <c r="E10" s="33">
        <v>46071</v>
      </c>
      <c r="F10" s="27">
        <f t="shared" si="2"/>
        <v>0.30424768518423662</v>
      </c>
      <c r="G10" s="27"/>
      <c r="H10" s="27"/>
      <c r="I10" s="27">
        <f t="shared" si="0"/>
        <v>0.70870370370539604</v>
      </c>
      <c r="J10" s="8"/>
    </row>
    <row r="11" spans="1:12" x14ac:dyDescent="0.25">
      <c r="A11" s="6" t="s">
        <v>97</v>
      </c>
      <c r="B11" s="7" t="s">
        <v>99</v>
      </c>
      <c r="C11" s="2" t="s">
        <v>685</v>
      </c>
      <c r="D11" s="2" t="s">
        <v>686</v>
      </c>
      <c r="E11" s="33">
        <v>46072</v>
      </c>
      <c r="F11" s="27">
        <f t="shared" si="2"/>
        <v>0.32449074074247619</v>
      </c>
      <c r="G11" s="27"/>
      <c r="H11" s="27"/>
      <c r="I11" s="27">
        <f t="shared" si="0"/>
        <v>0.70865740740555339</v>
      </c>
      <c r="J11" s="8"/>
    </row>
    <row r="12" spans="1:12" x14ac:dyDescent="0.25">
      <c r="A12" s="6" t="s">
        <v>97</v>
      </c>
      <c r="B12" s="7" t="s">
        <v>99</v>
      </c>
      <c r="C12" s="2" t="s">
        <v>687</v>
      </c>
      <c r="D12" s="2" t="s">
        <v>688</v>
      </c>
      <c r="E12" s="33">
        <v>46073</v>
      </c>
      <c r="F12" s="27">
        <f t="shared" si="2"/>
        <v>0.32293981481780065</v>
      </c>
      <c r="G12" s="27"/>
      <c r="H12" s="27"/>
      <c r="I12" s="27">
        <f t="shared" si="0"/>
        <v>0.70862268518249039</v>
      </c>
      <c r="J12" s="8"/>
    </row>
    <row r="13" spans="1:12" x14ac:dyDescent="0.25">
      <c r="A13" s="6" t="s">
        <v>97</v>
      </c>
      <c r="B13" s="7" t="s">
        <v>99</v>
      </c>
      <c r="C13" s="2" t="s">
        <v>689</v>
      </c>
      <c r="D13" s="2" t="s">
        <v>690</v>
      </c>
      <c r="E13" s="33">
        <v>46074</v>
      </c>
      <c r="F13" s="27">
        <f t="shared" si="2"/>
        <v>0.31678240740438923</v>
      </c>
      <c r="G13" s="27"/>
      <c r="H13" s="27"/>
      <c r="I13" s="27">
        <f t="shared" si="0"/>
        <v>0.70916666666744277</v>
      </c>
      <c r="J13" s="8"/>
    </row>
    <row r="14" spans="1:12" x14ac:dyDescent="0.25">
      <c r="A14" s="6" t="s">
        <v>97</v>
      </c>
      <c r="B14" s="7" t="s">
        <v>99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97</v>
      </c>
      <c r="B15" s="7" t="s">
        <v>99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97</v>
      </c>
      <c r="B16" s="7" t="s">
        <v>99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97</v>
      </c>
      <c r="B17" s="7" t="s">
        <v>99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97</v>
      </c>
      <c r="B18" s="7" t="s">
        <v>99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416" priority="25" operator="equal">
      <formula>"UNDERTIME"</formula>
    </cfRule>
  </conditionalFormatting>
  <conditionalFormatting sqref="F3:H18">
    <cfRule type="cellIs" dxfId="415" priority="1" operator="equal">
      <formula>"UNDERTIME"</formula>
    </cfRule>
  </conditionalFormatting>
  <conditionalFormatting sqref="F1:J2 F19:J1048576">
    <cfRule type="cellIs" dxfId="414" priority="16" operator="equal">
      <formula>"UNDERTIME"</formula>
    </cfRule>
  </conditionalFormatting>
  <conditionalFormatting sqref="J1:J2 J14:J1048576">
    <cfRule type="cellIs" dxfId="413" priority="17" operator="equal">
      <formula>"UNDERTIME"</formula>
    </cfRule>
  </conditionalFormatting>
  <conditionalFormatting sqref="J1:J14">
    <cfRule type="cellIs" dxfId="412" priority="7" operator="equal">
      <formula>"OB"</formula>
    </cfRule>
  </conditionalFormatting>
  <conditionalFormatting sqref="J1:J1048576">
    <cfRule type="cellIs" dxfId="411" priority="6" operator="equal">
      <formula>"HOLIDAY"</formula>
    </cfRule>
    <cfRule type="cellIs" dxfId="410" priority="8" operator="equal">
      <formula>"RESTDAY"</formula>
    </cfRule>
    <cfRule type="cellIs" dxfId="409" priority="9" operator="equal">
      <formula>"HALF DAY"</formula>
    </cfRule>
    <cfRule type="cellIs" dxfId="408" priority="10" operator="equal">
      <formula>"ABSENT"</formula>
    </cfRule>
    <cfRule type="cellIs" dxfId="407" priority="12" operator="equal">
      <formula>"ABSENT"</formula>
    </cfRule>
  </conditionalFormatting>
  <conditionalFormatting sqref="J3:J14">
    <cfRule type="cellIs" dxfId="406" priority="11" operator="equal">
      <formula>"UNDERTIME"</formula>
    </cfRule>
  </conditionalFormatting>
  <conditionalFormatting sqref="J3:J18">
    <cfRule type="cellIs" dxfId="405" priority="5" operator="equal">
      <formula>"UNDERTIME"</formula>
    </cfRule>
  </conditionalFormatting>
  <conditionalFormatting sqref="J5:J1048576">
    <cfRule type="cellIs" dxfId="404" priority="14" operator="equal">
      <formula>"OB"</formula>
    </cfRule>
  </conditionalFormatting>
  <conditionalFormatting sqref="J6">
    <cfRule type="cellIs" dxfId="403" priority="4" operator="equal">
      <formula>"OB"</formula>
    </cfRule>
  </conditionalFormatting>
  <conditionalFormatting sqref="J7">
    <cfRule type="cellIs" dxfId="402" priority="15" operator="equal">
      <formula>"OB"</formula>
    </cfRule>
  </conditionalFormatting>
  <conditionalFormatting sqref="J13">
    <cfRule type="cellIs" dxfId="401" priority="13" operator="equal">
      <formula>"OB"</formula>
    </cfRule>
  </conditionalFormatting>
  <conditionalFormatting sqref="J14">
    <cfRule type="cellIs" dxfId="400" priority="3" operator="equal">
      <formula>"OB"</formula>
    </cfRule>
    <cfRule type="cellIs" dxfId="399" priority="18" operator="equal">
      <formula>"OB"</formula>
    </cfRule>
  </conditionalFormatting>
  <conditionalFormatting sqref="J14:J1048576">
    <cfRule type="cellIs" dxfId="398" priority="19" operator="equal">
      <formula>"OB"</formula>
    </cfRule>
  </conditionalFormatting>
  <conditionalFormatting sqref="J17:J18">
    <cfRule type="cellIs" dxfId="397" priority="20" operator="equal">
      <formula>"OB"</formula>
    </cfRule>
  </conditionalFormatting>
  <conditionalFormatting sqref="K6:K8">
    <cfRule type="containsText" dxfId="396" priority="43" operator="containsText" text="SUNDAY">
      <formula>NOT(ISERROR(SEARCH("SUNDAY",K6)))</formula>
    </cfRule>
    <cfRule type="containsText" dxfId="395" priority="44" operator="containsText" text="HOLIDAY">
      <formula>NOT(ISERROR(SEARCH("HOLIDAY",K6)))</formula>
    </cfRule>
  </conditionalFormatting>
  <conditionalFormatting sqref="K9">
    <cfRule type="containsText" dxfId="394" priority="45" operator="containsText" text="SUNDAY">
      <formula>NOT(ISERROR(SEARCH("SUNDAY",K9)))</formula>
    </cfRule>
    <cfRule type="containsText" dxfId="393" priority="46" operator="containsText" text="HOLIDAY">
      <formula>NOT(ISERROR(SEARCH("HOLIDAY",K9)))</formula>
    </cfRule>
  </conditionalFormatting>
  <conditionalFormatting sqref="L5:L9">
    <cfRule type="containsText" dxfId="392" priority="41" operator="containsText" text="SUNDAY">
      <formula>NOT(ISERROR(SEARCH("SUNDAY",L5)))</formula>
    </cfRule>
    <cfRule type="containsText" dxfId="391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BEA7-6053-45E7-B287-4077033FF855}">
  <dimension ref="A1:L26"/>
  <sheetViews>
    <sheetView zoomScaleNormal="100" workbookViewId="0">
      <selection activeCell="L9" sqref="L9"/>
    </sheetView>
  </sheetViews>
  <sheetFormatPr defaultColWidth="8.85546875" defaultRowHeight="15" x14ac:dyDescent="0.25"/>
  <cols>
    <col min="1" max="1" width="13.28515625" style="1" bestFit="1" customWidth="1"/>
    <col min="2" max="2" width="20.85546875" style="1" bestFit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107</v>
      </c>
      <c r="B3" s="7" t="s">
        <v>108</v>
      </c>
      <c r="C3" s="2" t="s">
        <v>691</v>
      </c>
      <c r="D3" s="2" t="s">
        <v>692</v>
      </c>
      <c r="E3" s="33">
        <v>46064</v>
      </c>
      <c r="F3" s="27">
        <f>C3-E3</f>
        <v>0.31913194444496185</v>
      </c>
      <c r="G3" s="27"/>
      <c r="H3" s="27"/>
      <c r="I3" s="27">
        <f t="shared" ref="I3:I13" si="0">D3-E3</f>
        <v>0.71081018518452765</v>
      </c>
      <c r="J3" s="8"/>
    </row>
    <row r="4" spans="1:12" x14ac:dyDescent="0.25">
      <c r="A4" s="6" t="s">
        <v>107</v>
      </c>
      <c r="B4" s="7" t="s">
        <v>108</v>
      </c>
      <c r="C4" s="2" t="s">
        <v>693</v>
      </c>
      <c r="D4" s="2" t="s">
        <v>694</v>
      </c>
      <c r="E4" s="33">
        <v>46065</v>
      </c>
      <c r="F4" s="27">
        <f t="shared" ref="F4:F6" si="1">C4-E4</f>
        <v>0.32077546296204673</v>
      </c>
      <c r="G4" s="27"/>
      <c r="H4" s="27"/>
      <c r="I4" s="27">
        <f t="shared" si="0"/>
        <v>0.71203703703940846</v>
      </c>
      <c r="J4" s="8"/>
    </row>
    <row r="5" spans="1:12" x14ac:dyDescent="0.25">
      <c r="A5" s="6" t="s">
        <v>107</v>
      </c>
      <c r="B5" s="7" t="s">
        <v>108</v>
      </c>
      <c r="C5" s="49">
        <v>46066.315717592595</v>
      </c>
      <c r="D5" s="2" t="s">
        <v>695</v>
      </c>
      <c r="E5" s="33">
        <v>46066</v>
      </c>
      <c r="F5" s="27">
        <f t="shared" si="1"/>
        <v>0.31571759259531973</v>
      </c>
      <c r="G5" s="27"/>
      <c r="H5" s="27"/>
      <c r="I5" s="27">
        <f t="shared" si="0"/>
        <v>0.71164351851621177</v>
      </c>
      <c r="J5" s="8"/>
      <c r="K5" s="3" t="s">
        <v>6</v>
      </c>
      <c r="L5" s="4">
        <v>0</v>
      </c>
    </row>
    <row r="6" spans="1:12" x14ac:dyDescent="0.25">
      <c r="A6" s="6" t="s">
        <v>107</v>
      </c>
      <c r="B6" s="7" t="s">
        <v>108</v>
      </c>
      <c r="C6" s="2" t="s">
        <v>696</v>
      </c>
      <c r="D6" s="2" t="s">
        <v>697</v>
      </c>
      <c r="E6" s="33">
        <v>46067</v>
      </c>
      <c r="F6" s="27">
        <f t="shared" si="1"/>
        <v>0.31730324074305827</v>
      </c>
      <c r="G6" s="27"/>
      <c r="H6" s="27"/>
      <c r="I6" s="27">
        <f t="shared" si="0"/>
        <v>0.71461805555736646</v>
      </c>
      <c r="J6" s="8"/>
      <c r="K6" s="3" t="s">
        <v>7</v>
      </c>
      <c r="L6" s="4">
        <v>1</v>
      </c>
    </row>
    <row r="7" spans="1:12" x14ac:dyDescent="0.25">
      <c r="A7" s="6" t="s">
        <v>107</v>
      </c>
      <c r="B7" s="7" t="s">
        <v>108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107</v>
      </c>
      <c r="B8" s="7" t="s">
        <v>108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107</v>
      </c>
      <c r="B9" s="7" t="s">
        <v>108</v>
      </c>
      <c r="C9" s="2" t="s">
        <v>698</v>
      </c>
      <c r="D9" s="2" t="s">
        <v>699</v>
      </c>
      <c r="E9" s="33">
        <v>46070</v>
      </c>
      <c r="F9" s="27">
        <f t="shared" ref="F9:F13" si="2">C9-E9</f>
        <v>0.31210648148407927</v>
      </c>
      <c r="G9" s="27"/>
      <c r="H9" s="27"/>
      <c r="I9" s="27">
        <f t="shared" si="0"/>
        <v>0.71070601851533866</v>
      </c>
      <c r="J9" s="8"/>
      <c r="K9" s="3" t="s">
        <v>10</v>
      </c>
      <c r="L9" s="4">
        <v>2</v>
      </c>
    </row>
    <row r="10" spans="1:12" x14ac:dyDescent="0.25">
      <c r="A10" s="6" t="s">
        <v>107</v>
      </c>
      <c r="B10" s="7" t="s">
        <v>108</v>
      </c>
      <c r="C10" s="2" t="s">
        <v>700</v>
      </c>
      <c r="D10" s="2" t="s">
        <v>701</v>
      </c>
      <c r="E10" s="33">
        <v>46071</v>
      </c>
      <c r="F10" s="27">
        <f t="shared" si="2"/>
        <v>0.31496527777926531</v>
      </c>
      <c r="G10" s="27"/>
      <c r="H10" s="27"/>
      <c r="I10" s="27">
        <f t="shared" si="0"/>
        <v>0.71373842592583969</v>
      </c>
      <c r="J10" s="8"/>
    </row>
    <row r="11" spans="1:12" x14ac:dyDescent="0.25">
      <c r="A11" s="6" t="s">
        <v>107</v>
      </c>
      <c r="B11" s="7" t="s">
        <v>108</v>
      </c>
      <c r="C11" s="2" t="s">
        <v>702</v>
      </c>
      <c r="D11" s="2" t="s">
        <v>703</v>
      </c>
      <c r="E11" s="33">
        <v>46072</v>
      </c>
      <c r="F11" s="27">
        <f t="shared" si="2"/>
        <v>0.31778935185138835</v>
      </c>
      <c r="G11" s="27"/>
      <c r="H11" s="27"/>
      <c r="I11" s="27">
        <f t="shared" si="0"/>
        <v>0.70968749999883585</v>
      </c>
      <c r="J11" s="8"/>
    </row>
    <row r="12" spans="1:12" x14ac:dyDescent="0.25">
      <c r="A12" s="6" t="s">
        <v>107</v>
      </c>
      <c r="B12" s="7" t="s">
        <v>108</v>
      </c>
      <c r="C12" s="2" t="s">
        <v>704</v>
      </c>
      <c r="D12" s="2" t="s">
        <v>705</v>
      </c>
      <c r="E12" s="33">
        <v>46073</v>
      </c>
      <c r="F12" s="27">
        <f t="shared" si="2"/>
        <v>0.31546296296437504</v>
      </c>
      <c r="G12" s="27"/>
      <c r="H12" s="27"/>
      <c r="I12" s="27">
        <f t="shared" si="0"/>
        <v>0.79332175925810589</v>
      </c>
      <c r="J12" s="8" t="s">
        <v>919</v>
      </c>
    </row>
    <row r="13" spans="1:12" x14ac:dyDescent="0.25">
      <c r="A13" s="6" t="s">
        <v>107</v>
      </c>
      <c r="B13" s="7" t="s">
        <v>108</v>
      </c>
      <c r="C13" s="2" t="s">
        <v>706</v>
      </c>
      <c r="D13" s="2" t="s">
        <v>707</v>
      </c>
      <c r="E13" s="33">
        <v>46074</v>
      </c>
      <c r="F13" s="27">
        <f t="shared" si="2"/>
        <v>0.31962962963007158</v>
      </c>
      <c r="G13" s="27"/>
      <c r="H13" s="27"/>
      <c r="I13" s="27">
        <f t="shared" si="0"/>
        <v>0.7226041666654055</v>
      </c>
      <c r="J13" s="8"/>
    </row>
    <row r="14" spans="1:12" x14ac:dyDescent="0.25">
      <c r="A14" s="6" t="s">
        <v>107</v>
      </c>
      <c r="B14" s="7" t="s">
        <v>108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107</v>
      </c>
      <c r="B15" s="7" t="s">
        <v>108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107</v>
      </c>
      <c r="B16" s="7" t="s">
        <v>108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107</v>
      </c>
      <c r="B17" s="7" t="s">
        <v>108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" customHeight="1" x14ac:dyDescent="0.25">
      <c r="A18" s="6" t="s">
        <v>107</v>
      </c>
      <c r="B18" s="7" t="s">
        <v>108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B25" s="2"/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390" priority="25" operator="equal">
      <formula>"UNDERTIME"</formula>
    </cfRule>
  </conditionalFormatting>
  <conditionalFormatting sqref="F3:H18">
    <cfRule type="cellIs" dxfId="389" priority="1" operator="equal">
      <formula>"UNDERTIME"</formula>
    </cfRule>
  </conditionalFormatting>
  <conditionalFormatting sqref="F1:J2 F19:J1048576">
    <cfRule type="cellIs" dxfId="388" priority="16" operator="equal">
      <formula>"UNDERTIME"</formula>
    </cfRule>
  </conditionalFormatting>
  <conditionalFormatting sqref="J1:J2 J14:J1048576">
    <cfRule type="cellIs" dxfId="387" priority="17" operator="equal">
      <formula>"UNDERTIME"</formula>
    </cfRule>
  </conditionalFormatting>
  <conditionalFormatting sqref="J1:J14">
    <cfRule type="cellIs" dxfId="386" priority="7" operator="equal">
      <formula>"OB"</formula>
    </cfRule>
  </conditionalFormatting>
  <conditionalFormatting sqref="J1:J1048576">
    <cfRule type="cellIs" dxfId="385" priority="6" operator="equal">
      <formula>"HOLIDAY"</formula>
    </cfRule>
    <cfRule type="cellIs" dxfId="384" priority="8" operator="equal">
      <formula>"RESTDAY"</formula>
    </cfRule>
    <cfRule type="cellIs" dxfId="383" priority="9" operator="equal">
      <formula>"HALF DAY"</formula>
    </cfRule>
    <cfRule type="cellIs" dxfId="382" priority="10" operator="equal">
      <formula>"ABSENT"</formula>
    </cfRule>
    <cfRule type="cellIs" dxfId="381" priority="12" operator="equal">
      <formula>"ABSENT"</formula>
    </cfRule>
  </conditionalFormatting>
  <conditionalFormatting sqref="J3:J14">
    <cfRule type="cellIs" dxfId="380" priority="11" operator="equal">
      <formula>"UNDERTIME"</formula>
    </cfRule>
  </conditionalFormatting>
  <conditionalFormatting sqref="J3:J18">
    <cfRule type="cellIs" dxfId="379" priority="5" operator="equal">
      <formula>"UNDERTIME"</formula>
    </cfRule>
  </conditionalFormatting>
  <conditionalFormatting sqref="J5:J1048576">
    <cfRule type="cellIs" dxfId="378" priority="14" operator="equal">
      <formula>"OB"</formula>
    </cfRule>
  </conditionalFormatting>
  <conditionalFormatting sqref="J6">
    <cfRule type="cellIs" dxfId="377" priority="4" operator="equal">
      <formula>"OB"</formula>
    </cfRule>
  </conditionalFormatting>
  <conditionalFormatting sqref="J7">
    <cfRule type="cellIs" dxfId="376" priority="15" operator="equal">
      <formula>"OB"</formula>
    </cfRule>
  </conditionalFormatting>
  <conditionalFormatting sqref="J13">
    <cfRule type="cellIs" dxfId="375" priority="13" operator="equal">
      <formula>"OB"</formula>
    </cfRule>
  </conditionalFormatting>
  <conditionalFormatting sqref="J14">
    <cfRule type="cellIs" dxfId="374" priority="3" operator="equal">
      <formula>"OB"</formula>
    </cfRule>
    <cfRule type="cellIs" dxfId="373" priority="18" operator="equal">
      <formula>"OB"</formula>
    </cfRule>
  </conditionalFormatting>
  <conditionalFormatting sqref="J14:J1048576">
    <cfRule type="cellIs" dxfId="372" priority="19" operator="equal">
      <formula>"OB"</formula>
    </cfRule>
  </conditionalFormatting>
  <conditionalFormatting sqref="J17:J18">
    <cfRule type="cellIs" dxfId="371" priority="20" operator="equal">
      <formula>"OB"</formula>
    </cfRule>
  </conditionalFormatting>
  <conditionalFormatting sqref="K6:K8">
    <cfRule type="containsText" dxfId="370" priority="43" operator="containsText" text="SUNDAY">
      <formula>NOT(ISERROR(SEARCH("SUNDAY",K6)))</formula>
    </cfRule>
    <cfRule type="containsText" dxfId="369" priority="44" operator="containsText" text="HOLIDAY">
      <formula>NOT(ISERROR(SEARCH("HOLIDAY",K6)))</formula>
    </cfRule>
  </conditionalFormatting>
  <conditionalFormatting sqref="K9">
    <cfRule type="containsText" dxfId="368" priority="45" operator="containsText" text="SUNDAY">
      <formula>NOT(ISERROR(SEARCH("SUNDAY",K9)))</formula>
    </cfRule>
    <cfRule type="containsText" dxfId="367" priority="46" operator="containsText" text="HOLIDAY">
      <formula>NOT(ISERROR(SEARCH("HOLIDAY",K9)))</formula>
    </cfRule>
  </conditionalFormatting>
  <conditionalFormatting sqref="L5:L9">
    <cfRule type="containsText" dxfId="366" priority="41" operator="containsText" text="SUNDAY">
      <formula>NOT(ISERROR(SEARCH("SUNDAY",L5)))</formula>
    </cfRule>
    <cfRule type="containsText" dxfId="365" priority="42" operator="containsText" text="HOLIDAY">
      <formula>NOT(ISERROR(SEARCH("HOLIDAY",L5)))</formula>
    </cfRule>
  </conditionalFormatting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AAFD-099D-4EBF-AC70-A6409762562A}">
  <dimension ref="A1:L26"/>
  <sheetViews>
    <sheetView zoomScaleNormal="100" zoomScaleSheetLayoutView="93" workbookViewId="0">
      <selection activeCell="J26" sqref="J26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34"/>
      <c r="B2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52</v>
      </c>
      <c r="B3" s="7" t="s">
        <v>53</v>
      </c>
      <c r="C3" s="2" t="s">
        <v>708</v>
      </c>
      <c r="D3" s="2" t="s">
        <v>709</v>
      </c>
      <c r="E3" s="33">
        <v>46064</v>
      </c>
      <c r="F3" s="27">
        <f>C3-E3</f>
        <v>0.32495370370452292</v>
      </c>
      <c r="G3" s="27"/>
      <c r="H3" s="27"/>
      <c r="I3" s="27">
        <f t="shared" ref="I3:I13" si="0">D3-E3</f>
        <v>0.71023148148378823</v>
      </c>
      <c r="J3" s="8"/>
    </row>
    <row r="4" spans="1:12" x14ac:dyDescent="0.25">
      <c r="A4" s="6" t="s">
        <v>52</v>
      </c>
      <c r="B4" s="7" t="s">
        <v>53</v>
      </c>
      <c r="C4" s="2" t="s">
        <v>710</v>
      </c>
      <c r="D4" s="2" t="s">
        <v>711</v>
      </c>
      <c r="E4" s="33">
        <v>46065</v>
      </c>
      <c r="F4" s="27">
        <f t="shared" ref="F4:F6" si="1">C4-E4</f>
        <v>0.325543981482042</v>
      </c>
      <c r="G4" s="27"/>
      <c r="H4" s="27"/>
      <c r="I4" s="27">
        <f t="shared" si="0"/>
        <v>0.7094907407372375</v>
      </c>
      <c r="J4" s="8"/>
    </row>
    <row r="5" spans="1:12" x14ac:dyDescent="0.25">
      <c r="A5" s="6" t="s">
        <v>52</v>
      </c>
      <c r="B5" s="7" t="s">
        <v>53</v>
      </c>
      <c r="C5" s="2" t="s">
        <v>712</v>
      </c>
      <c r="D5" s="2" t="s">
        <v>713</v>
      </c>
      <c r="E5" s="33">
        <v>46066</v>
      </c>
      <c r="F5" s="27">
        <f t="shared" si="1"/>
        <v>0.32384259259561077</v>
      </c>
      <c r="G5" s="27"/>
      <c r="H5" s="27"/>
      <c r="I5" s="27">
        <f t="shared" si="0"/>
        <v>0.7094907407372375</v>
      </c>
      <c r="J5" s="8"/>
      <c r="K5" s="3" t="s">
        <v>6</v>
      </c>
      <c r="L5" s="4">
        <v>0</v>
      </c>
    </row>
    <row r="6" spans="1:12" x14ac:dyDescent="0.25">
      <c r="A6" s="6" t="s">
        <v>52</v>
      </c>
      <c r="B6" s="7" t="s">
        <v>53</v>
      </c>
      <c r="C6" s="2" t="s">
        <v>714</v>
      </c>
      <c r="D6" s="2" t="s">
        <v>715</v>
      </c>
      <c r="E6" s="33">
        <v>46067</v>
      </c>
      <c r="F6" s="27">
        <f t="shared" si="1"/>
        <v>0.32643518518307246</v>
      </c>
      <c r="G6" s="27"/>
      <c r="H6" s="27"/>
      <c r="I6" s="27">
        <f t="shared" si="0"/>
        <v>0.70854166666686069</v>
      </c>
      <c r="J6" s="8"/>
      <c r="K6" s="3" t="s">
        <v>7</v>
      </c>
      <c r="L6" s="4">
        <v>0</v>
      </c>
    </row>
    <row r="7" spans="1:12" x14ac:dyDescent="0.25">
      <c r="A7" s="6" t="s">
        <v>52</v>
      </c>
      <c r="B7" s="7" t="s">
        <v>53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52</v>
      </c>
      <c r="B8" s="7" t="s">
        <v>53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52</v>
      </c>
      <c r="B9" s="7" t="s">
        <v>53</v>
      </c>
      <c r="C9" s="2" t="s">
        <v>716</v>
      </c>
      <c r="D9" s="2" t="s">
        <v>717</v>
      </c>
      <c r="E9" s="33">
        <v>46070</v>
      </c>
      <c r="F9" s="27">
        <f t="shared" ref="F9:F13" si="2">C9-E9</f>
        <v>0.32445601851941319</v>
      </c>
      <c r="G9" s="27"/>
      <c r="H9" s="27"/>
      <c r="I9" s="27">
        <f t="shared" si="0"/>
        <v>0.70885416666715173</v>
      </c>
      <c r="J9" s="8"/>
      <c r="K9" s="3" t="s">
        <v>10</v>
      </c>
      <c r="L9" s="4">
        <v>0</v>
      </c>
    </row>
    <row r="10" spans="1:12" x14ac:dyDescent="0.25">
      <c r="A10" s="6" t="s">
        <v>52</v>
      </c>
      <c r="B10" s="7" t="s">
        <v>53</v>
      </c>
      <c r="C10" s="2" t="s">
        <v>718</v>
      </c>
      <c r="D10" s="2" t="s">
        <v>719</v>
      </c>
      <c r="E10" s="33">
        <v>46071</v>
      </c>
      <c r="F10" s="27">
        <f t="shared" si="2"/>
        <v>0.32596064815152204</v>
      </c>
      <c r="G10" s="27"/>
      <c r="H10" s="27"/>
      <c r="I10" s="27">
        <f t="shared" si="0"/>
        <v>0.70865740740555339</v>
      </c>
      <c r="J10" s="8"/>
    </row>
    <row r="11" spans="1:12" x14ac:dyDescent="0.25">
      <c r="A11" s="6" t="s">
        <v>52</v>
      </c>
      <c r="B11" s="7" t="s">
        <v>53</v>
      </c>
      <c r="C11" s="2" t="s">
        <v>720</v>
      </c>
      <c r="D11" s="2" t="s">
        <v>721</v>
      </c>
      <c r="E11" s="33">
        <v>46072</v>
      </c>
      <c r="F11" s="27">
        <f t="shared" si="2"/>
        <v>0.32569444444379769</v>
      </c>
      <c r="G11" s="27"/>
      <c r="H11" s="27"/>
      <c r="I11" s="27">
        <f t="shared" si="0"/>
        <v>0.70916666666744277</v>
      </c>
      <c r="J11" s="8"/>
    </row>
    <row r="12" spans="1:12" x14ac:dyDescent="0.25">
      <c r="A12" s="6" t="s">
        <v>52</v>
      </c>
      <c r="B12" s="7" t="s">
        <v>53</v>
      </c>
      <c r="C12" s="2" t="s">
        <v>722</v>
      </c>
      <c r="D12" s="2" t="s">
        <v>723</v>
      </c>
      <c r="E12" s="33">
        <v>46073</v>
      </c>
      <c r="F12" s="27">
        <f t="shared" si="2"/>
        <v>0.32471064815035788</v>
      </c>
      <c r="G12" s="27"/>
      <c r="H12" s="27"/>
      <c r="I12" s="27">
        <f t="shared" si="0"/>
        <v>0.70864583333604969</v>
      </c>
      <c r="J12" s="8"/>
    </row>
    <row r="13" spans="1:12" x14ac:dyDescent="0.25">
      <c r="A13" s="6" t="s">
        <v>52</v>
      </c>
      <c r="B13" s="7" t="s">
        <v>53</v>
      </c>
      <c r="C13" s="2" t="s">
        <v>724</v>
      </c>
      <c r="D13" s="2" t="s">
        <v>725</v>
      </c>
      <c r="E13" s="33">
        <v>46074</v>
      </c>
      <c r="F13" s="27">
        <f t="shared" si="2"/>
        <v>0.32597222222102573</v>
      </c>
      <c r="G13" s="27"/>
      <c r="H13" s="27"/>
      <c r="I13" s="27">
        <f t="shared" si="0"/>
        <v>0.70931712962919846</v>
      </c>
      <c r="J13" s="8"/>
    </row>
    <row r="14" spans="1:12" x14ac:dyDescent="0.25">
      <c r="A14" s="6" t="s">
        <v>52</v>
      </c>
      <c r="B14" s="7" t="s">
        <v>53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52</v>
      </c>
      <c r="B15" s="7" t="s">
        <v>53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52</v>
      </c>
      <c r="B16" s="7" t="s">
        <v>53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52</v>
      </c>
      <c r="B17" s="7" t="s">
        <v>53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52</v>
      </c>
      <c r="B18" s="7" t="s">
        <v>53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364" priority="25" operator="equal">
      <formula>"UNDERTIME"</formula>
    </cfRule>
  </conditionalFormatting>
  <conditionalFormatting sqref="F3:H18">
    <cfRule type="cellIs" dxfId="363" priority="1" operator="equal">
      <formula>"UNDERTIME"</formula>
    </cfRule>
  </conditionalFormatting>
  <conditionalFormatting sqref="F1:J2 F19:J1048576">
    <cfRule type="cellIs" dxfId="362" priority="16" operator="equal">
      <formula>"UNDERTIME"</formula>
    </cfRule>
  </conditionalFormatting>
  <conditionalFormatting sqref="J1:J2 J14:J1048576">
    <cfRule type="cellIs" dxfId="361" priority="17" operator="equal">
      <formula>"UNDERTIME"</formula>
    </cfRule>
  </conditionalFormatting>
  <conditionalFormatting sqref="J1:J14">
    <cfRule type="cellIs" dxfId="360" priority="7" operator="equal">
      <formula>"OB"</formula>
    </cfRule>
  </conditionalFormatting>
  <conditionalFormatting sqref="J1:J1048576">
    <cfRule type="cellIs" dxfId="359" priority="6" operator="equal">
      <formula>"HOLIDAY"</formula>
    </cfRule>
    <cfRule type="cellIs" dxfId="358" priority="8" operator="equal">
      <formula>"RESTDAY"</formula>
    </cfRule>
    <cfRule type="cellIs" dxfId="357" priority="9" operator="equal">
      <formula>"HALF DAY"</formula>
    </cfRule>
    <cfRule type="cellIs" dxfId="356" priority="10" operator="equal">
      <formula>"ABSENT"</formula>
    </cfRule>
    <cfRule type="cellIs" dxfId="355" priority="12" operator="equal">
      <formula>"ABSENT"</formula>
    </cfRule>
  </conditionalFormatting>
  <conditionalFormatting sqref="J3:J14">
    <cfRule type="cellIs" dxfId="354" priority="11" operator="equal">
      <formula>"UNDERTIME"</formula>
    </cfRule>
  </conditionalFormatting>
  <conditionalFormatting sqref="J3:J18">
    <cfRule type="cellIs" dxfId="353" priority="5" operator="equal">
      <formula>"UNDERTIME"</formula>
    </cfRule>
  </conditionalFormatting>
  <conditionalFormatting sqref="J5:J1048576">
    <cfRule type="cellIs" dxfId="352" priority="14" operator="equal">
      <formula>"OB"</formula>
    </cfRule>
  </conditionalFormatting>
  <conditionalFormatting sqref="J6">
    <cfRule type="cellIs" dxfId="351" priority="4" operator="equal">
      <formula>"OB"</formula>
    </cfRule>
  </conditionalFormatting>
  <conditionalFormatting sqref="J7">
    <cfRule type="cellIs" dxfId="350" priority="15" operator="equal">
      <formula>"OB"</formula>
    </cfRule>
  </conditionalFormatting>
  <conditionalFormatting sqref="J13">
    <cfRule type="cellIs" dxfId="349" priority="13" operator="equal">
      <formula>"OB"</formula>
    </cfRule>
  </conditionalFormatting>
  <conditionalFormatting sqref="J14">
    <cfRule type="cellIs" dxfId="348" priority="3" operator="equal">
      <formula>"OB"</formula>
    </cfRule>
    <cfRule type="cellIs" dxfId="347" priority="18" operator="equal">
      <formula>"OB"</formula>
    </cfRule>
  </conditionalFormatting>
  <conditionalFormatting sqref="J14:J1048576">
    <cfRule type="cellIs" dxfId="346" priority="19" operator="equal">
      <formula>"OB"</formula>
    </cfRule>
  </conditionalFormatting>
  <conditionalFormatting sqref="J17:J18">
    <cfRule type="cellIs" dxfId="345" priority="20" operator="equal">
      <formula>"OB"</formula>
    </cfRule>
  </conditionalFormatting>
  <conditionalFormatting sqref="K6:K8">
    <cfRule type="containsText" dxfId="344" priority="43" operator="containsText" text="SUNDAY">
      <formula>NOT(ISERROR(SEARCH("SUNDAY",K6)))</formula>
    </cfRule>
    <cfRule type="containsText" dxfId="343" priority="44" operator="containsText" text="HOLIDAY">
      <formula>NOT(ISERROR(SEARCH("HOLIDAY",K6)))</formula>
    </cfRule>
  </conditionalFormatting>
  <conditionalFormatting sqref="K9">
    <cfRule type="containsText" dxfId="342" priority="45" operator="containsText" text="SUNDAY">
      <formula>NOT(ISERROR(SEARCH("SUNDAY",K9)))</formula>
    </cfRule>
    <cfRule type="containsText" dxfId="341" priority="46" operator="containsText" text="HOLIDAY">
      <formula>NOT(ISERROR(SEARCH("HOLIDAY",K9)))</formula>
    </cfRule>
  </conditionalFormatting>
  <conditionalFormatting sqref="L5:L9">
    <cfRule type="containsText" dxfId="340" priority="41" operator="containsText" text="SUNDAY">
      <formula>NOT(ISERROR(SEARCH("SUNDAY",L5)))</formula>
    </cfRule>
    <cfRule type="containsText" dxfId="339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3565B-A38A-47EF-B5DC-2C62A481CEC5}">
  <dimension ref="A1:L26"/>
  <sheetViews>
    <sheetView zoomScaleNormal="100" zoomScaleSheetLayoutView="93" workbookViewId="0">
      <selection activeCell="F11" sqref="F11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54</v>
      </c>
      <c r="B3" s="7" t="s">
        <v>55</v>
      </c>
      <c r="C3" s="2" t="s">
        <v>726</v>
      </c>
      <c r="D3" s="2" t="s">
        <v>727</v>
      </c>
      <c r="E3" s="33">
        <v>46064</v>
      </c>
      <c r="F3" s="27">
        <f>C3-E3</f>
        <v>0.31754629629722331</v>
      </c>
      <c r="G3" s="27"/>
      <c r="H3" s="27"/>
      <c r="I3" s="27">
        <f t="shared" ref="I3:I13" si="0">D3-E3</f>
        <v>0.71050925926101627</v>
      </c>
      <c r="J3" s="8"/>
    </row>
    <row r="4" spans="1:12" x14ac:dyDescent="0.25">
      <c r="A4" s="6" t="s">
        <v>54</v>
      </c>
      <c r="B4" s="7" t="s">
        <v>55</v>
      </c>
      <c r="C4" s="2" t="s">
        <v>728</v>
      </c>
      <c r="D4" s="2" t="s">
        <v>729</v>
      </c>
      <c r="E4" s="33">
        <v>46065</v>
      </c>
      <c r="F4" s="27">
        <f t="shared" ref="F4:F5" si="1">C4-E4</f>
        <v>0.31891203703708015</v>
      </c>
      <c r="G4" s="27"/>
      <c r="H4" s="27"/>
      <c r="I4" s="27">
        <f t="shared" si="0"/>
        <v>0.7095601851833635</v>
      </c>
      <c r="J4" s="8"/>
    </row>
    <row r="5" spans="1:12" x14ac:dyDescent="0.25">
      <c r="A5" s="6" t="s">
        <v>54</v>
      </c>
      <c r="B5" s="7" t="s">
        <v>55</v>
      </c>
      <c r="C5" s="2" t="s">
        <v>730</v>
      </c>
      <c r="D5" s="2" t="s">
        <v>731</v>
      </c>
      <c r="E5" s="33">
        <v>46066</v>
      </c>
      <c r="F5" s="27">
        <f t="shared" si="1"/>
        <v>0.31621527778042946</v>
      </c>
      <c r="G5" s="27"/>
      <c r="H5" s="27"/>
      <c r="I5" s="27">
        <f t="shared" si="0"/>
        <v>0.71159722222364508</v>
      </c>
      <c r="J5" s="8"/>
      <c r="K5" s="3" t="s">
        <v>6</v>
      </c>
      <c r="L5" s="4">
        <v>0</v>
      </c>
    </row>
    <row r="6" spans="1:12" x14ac:dyDescent="0.25">
      <c r="A6" s="6" t="s">
        <v>54</v>
      </c>
      <c r="B6" s="7" t="s">
        <v>55</v>
      </c>
      <c r="C6" s="2"/>
      <c r="D6" s="2" t="s">
        <v>732</v>
      </c>
      <c r="E6" s="33">
        <v>46067</v>
      </c>
      <c r="F6" s="27">
        <v>0.31874999999999998</v>
      </c>
      <c r="G6" s="27"/>
      <c r="H6" s="27"/>
      <c r="I6" s="27">
        <f t="shared" si="0"/>
        <v>0.71152777777751908</v>
      </c>
      <c r="J6" s="8"/>
      <c r="K6" s="3" t="s">
        <v>7</v>
      </c>
      <c r="L6" s="4">
        <v>0</v>
      </c>
    </row>
    <row r="7" spans="1:12" x14ac:dyDescent="0.25">
      <c r="A7" s="6" t="s">
        <v>54</v>
      </c>
      <c r="B7" s="7" t="s">
        <v>55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54</v>
      </c>
      <c r="B8" s="7" t="s">
        <v>55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54</v>
      </c>
      <c r="B9" s="7" t="s">
        <v>55</v>
      </c>
      <c r="C9" s="2" t="s">
        <v>733</v>
      </c>
      <c r="D9" s="2" t="s">
        <v>734</v>
      </c>
      <c r="E9" s="33">
        <v>46070</v>
      </c>
      <c r="F9" s="27">
        <f t="shared" ref="F9:F13" si="2">C9-E9</f>
        <v>0.31857638889050577</v>
      </c>
      <c r="G9" s="27"/>
      <c r="H9" s="27"/>
      <c r="I9" s="27">
        <f t="shared" si="0"/>
        <v>0.70997685185284354</v>
      </c>
      <c r="J9" s="8"/>
      <c r="K9" s="3" t="s">
        <v>10</v>
      </c>
      <c r="L9" s="4">
        <v>0</v>
      </c>
    </row>
    <row r="10" spans="1:12" x14ac:dyDescent="0.25">
      <c r="A10" s="6" t="s">
        <v>54</v>
      </c>
      <c r="B10" s="7" t="s">
        <v>55</v>
      </c>
      <c r="C10" s="2"/>
      <c r="D10" s="2" t="s">
        <v>735</v>
      </c>
      <c r="E10" s="33">
        <v>46071</v>
      </c>
      <c r="F10" s="27">
        <v>0.3215277777777778</v>
      </c>
      <c r="G10" s="27"/>
      <c r="H10" s="27"/>
      <c r="I10" s="27">
        <f t="shared" si="0"/>
        <v>0.71164351851621177</v>
      </c>
      <c r="J10" s="8"/>
    </row>
    <row r="11" spans="1:12" x14ac:dyDescent="0.25">
      <c r="A11" s="6" t="s">
        <v>54</v>
      </c>
      <c r="B11" s="7" t="s">
        <v>55</v>
      </c>
      <c r="C11" s="2" t="s">
        <v>736</v>
      </c>
      <c r="D11" s="2" t="s">
        <v>737</v>
      </c>
      <c r="E11" s="33">
        <v>46072</v>
      </c>
      <c r="F11" s="27">
        <f t="shared" si="2"/>
        <v>0.32098379629314877</v>
      </c>
      <c r="G11" s="27"/>
      <c r="H11" s="27"/>
      <c r="I11" s="27">
        <f t="shared" si="0"/>
        <v>0.70900462962890742</v>
      </c>
      <c r="J11" s="8"/>
    </row>
    <row r="12" spans="1:12" x14ac:dyDescent="0.25">
      <c r="A12" s="6" t="s">
        <v>54</v>
      </c>
      <c r="B12" s="7" t="s">
        <v>55</v>
      </c>
      <c r="C12" s="2" t="s">
        <v>738</v>
      </c>
      <c r="D12" s="2" t="s">
        <v>739</v>
      </c>
      <c r="E12" s="33">
        <v>46073</v>
      </c>
      <c r="F12" s="27">
        <f t="shared" si="2"/>
        <v>0.31991898148407927</v>
      </c>
      <c r="G12" s="27"/>
      <c r="H12" s="27"/>
      <c r="I12" s="27">
        <f t="shared" si="0"/>
        <v>0.70930555555241881</v>
      </c>
      <c r="J12" s="8"/>
    </row>
    <row r="13" spans="1:12" x14ac:dyDescent="0.25">
      <c r="A13" s="6" t="s">
        <v>54</v>
      </c>
      <c r="B13" s="7" t="s">
        <v>55</v>
      </c>
      <c r="C13" s="2" t="s">
        <v>740</v>
      </c>
      <c r="D13" s="2" t="s">
        <v>741</v>
      </c>
      <c r="E13" s="33">
        <v>46074</v>
      </c>
      <c r="F13" s="27">
        <f t="shared" si="2"/>
        <v>0.31888888889079681</v>
      </c>
      <c r="G13" s="27"/>
      <c r="H13" s="27"/>
      <c r="I13" s="27">
        <f t="shared" si="0"/>
        <v>0.71063657407648861</v>
      </c>
      <c r="J13" s="8"/>
    </row>
    <row r="14" spans="1:12" x14ac:dyDescent="0.25">
      <c r="A14" s="6" t="s">
        <v>54</v>
      </c>
      <c r="B14" s="7" t="s">
        <v>55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54</v>
      </c>
      <c r="B15" s="7" t="s">
        <v>55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54</v>
      </c>
      <c r="B16" s="7" t="s">
        <v>55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54</v>
      </c>
      <c r="B17" s="7" t="s">
        <v>55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54</v>
      </c>
      <c r="B18" s="7" t="s">
        <v>55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338" priority="25" operator="equal">
      <formula>"UNDERTIME"</formula>
    </cfRule>
  </conditionalFormatting>
  <conditionalFormatting sqref="F3:H18">
    <cfRule type="cellIs" dxfId="337" priority="1" operator="equal">
      <formula>"UNDERTIME"</formula>
    </cfRule>
  </conditionalFormatting>
  <conditionalFormatting sqref="F1:J2 F19:J1048576">
    <cfRule type="cellIs" dxfId="336" priority="16" operator="equal">
      <formula>"UNDERTIME"</formula>
    </cfRule>
  </conditionalFormatting>
  <conditionalFormatting sqref="J1:J2 J14:J1048576">
    <cfRule type="cellIs" dxfId="335" priority="17" operator="equal">
      <formula>"UNDERTIME"</formula>
    </cfRule>
  </conditionalFormatting>
  <conditionalFormatting sqref="J1:J14">
    <cfRule type="cellIs" dxfId="334" priority="7" operator="equal">
      <formula>"OB"</formula>
    </cfRule>
  </conditionalFormatting>
  <conditionalFormatting sqref="J1:J1048576">
    <cfRule type="cellIs" dxfId="333" priority="6" operator="equal">
      <formula>"HOLIDAY"</formula>
    </cfRule>
    <cfRule type="cellIs" dxfId="332" priority="8" operator="equal">
      <formula>"RESTDAY"</formula>
    </cfRule>
    <cfRule type="cellIs" dxfId="331" priority="9" operator="equal">
      <formula>"HALF DAY"</formula>
    </cfRule>
    <cfRule type="cellIs" dxfId="330" priority="10" operator="equal">
      <formula>"ABSENT"</formula>
    </cfRule>
    <cfRule type="cellIs" dxfId="329" priority="12" operator="equal">
      <formula>"ABSENT"</formula>
    </cfRule>
  </conditionalFormatting>
  <conditionalFormatting sqref="J3:J14">
    <cfRule type="cellIs" dxfId="328" priority="11" operator="equal">
      <formula>"UNDERTIME"</formula>
    </cfRule>
  </conditionalFormatting>
  <conditionalFormatting sqref="J3:J18">
    <cfRule type="cellIs" dxfId="327" priority="5" operator="equal">
      <formula>"UNDERTIME"</formula>
    </cfRule>
  </conditionalFormatting>
  <conditionalFormatting sqref="J5:J1048576">
    <cfRule type="cellIs" dxfId="326" priority="14" operator="equal">
      <formula>"OB"</formula>
    </cfRule>
  </conditionalFormatting>
  <conditionalFormatting sqref="J6">
    <cfRule type="cellIs" dxfId="325" priority="4" operator="equal">
      <formula>"OB"</formula>
    </cfRule>
  </conditionalFormatting>
  <conditionalFormatting sqref="J7">
    <cfRule type="cellIs" dxfId="324" priority="15" operator="equal">
      <formula>"OB"</formula>
    </cfRule>
  </conditionalFormatting>
  <conditionalFormatting sqref="J13">
    <cfRule type="cellIs" dxfId="323" priority="13" operator="equal">
      <formula>"OB"</formula>
    </cfRule>
  </conditionalFormatting>
  <conditionalFormatting sqref="J14">
    <cfRule type="cellIs" dxfId="322" priority="3" operator="equal">
      <formula>"OB"</formula>
    </cfRule>
    <cfRule type="cellIs" dxfId="321" priority="18" operator="equal">
      <formula>"OB"</formula>
    </cfRule>
  </conditionalFormatting>
  <conditionalFormatting sqref="J14:J1048576">
    <cfRule type="cellIs" dxfId="320" priority="19" operator="equal">
      <formula>"OB"</formula>
    </cfRule>
  </conditionalFormatting>
  <conditionalFormatting sqref="J17:J18">
    <cfRule type="cellIs" dxfId="319" priority="20" operator="equal">
      <formula>"OB"</formula>
    </cfRule>
  </conditionalFormatting>
  <conditionalFormatting sqref="K6:K8">
    <cfRule type="containsText" dxfId="318" priority="43" operator="containsText" text="SUNDAY">
      <formula>NOT(ISERROR(SEARCH("SUNDAY",K6)))</formula>
    </cfRule>
    <cfRule type="containsText" dxfId="317" priority="44" operator="containsText" text="HOLIDAY">
      <formula>NOT(ISERROR(SEARCH("HOLIDAY",K6)))</formula>
    </cfRule>
  </conditionalFormatting>
  <conditionalFormatting sqref="K9">
    <cfRule type="containsText" dxfId="316" priority="45" operator="containsText" text="SUNDAY">
      <formula>NOT(ISERROR(SEARCH("SUNDAY",K9)))</formula>
    </cfRule>
    <cfRule type="containsText" dxfId="315" priority="46" operator="containsText" text="HOLIDAY">
      <formula>NOT(ISERROR(SEARCH("HOLIDAY",K9)))</formula>
    </cfRule>
  </conditionalFormatting>
  <conditionalFormatting sqref="L5:L9">
    <cfRule type="containsText" dxfId="314" priority="41" operator="containsText" text="SUNDAY">
      <formula>NOT(ISERROR(SEARCH("SUNDAY",L5)))</formula>
    </cfRule>
    <cfRule type="containsText" dxfId="313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AD85C-0C76-49D7-A53F-59D30A952501}">
  <dimension ref="A1:L26"/>
  <sheetViews>
    <sheetView zoomScaleNormal="100" zoomScaleSheetLayoutView="93" workbookViewId="0">
      <selection activeCell="D1" sqref="C1:D1048576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56</v>
      </c>
      <c r="B3" s="7" t="s">
        <v>57</v>
      </c>
      <c r="C3" s="2" t="s">
        <v>742</v>
      </c>
      <c r="D3" s="2" t="s">
        <v>743</v>
      </c>
      <c r="E3" s="33">
        <v>46064</v>
      </c>
      <c r="F3" s="27">
        <f>C3-E3</f>
        <v>0.31759259258979</v>
      </c>
      <c r="G3" s="27"/>
      <c r="H3" s="27"/>
      <c r="I3" s="27">
        <f t="shared" ref="I3:I10" si="0">D3-E3</f>
        <v>0.72471064814453712</v>
      </c>
      <c r="J3" s="8"/>
    </row>
    <row r="4" spans="1:12" x14ac:dyDescent="0.25">
      <c r="A4" s="6" t="s">
        <v>56</v>
      </c>
      <c r="B4" s="7" t="s">
        <v>57</v>
      </c>
      <c r="C4" s="2" t="s">
        <v>744</v>
      </c>
      <c r="D4" s="2" t="s">
        <v>745</v>
      </c>
      <c r="E4" s="33">
        <v>46065</v>
      </c>
      <c r="F4" s="27">
        <f t="shared" ref="F4:F6" si="1">C4-E4</f>
        <v>0.31484953704057261</v>
      </c>
      <c r="G4" s="27"/>
      <c r="H4" s="27"/>
      <c r="I4" s="27">
        <f t="shared" si="0"/>
        <v>0.71128472222335404</v>
      </c>
      <c r="J4" s="8"/>
    </row>
    <row r="5" spans="1:12" x14ac:dyDescent="0.25">
      <c r="A5" s="6" t="s">
        <v>56</v>
      </c>
      <c r="B5" s="7" t="s">
        <v>57</v>
      </c>
      <c r="C5" s="2" t="s">
        <v>746</v>
      </c>
      <c r="D5" s="2" t="s">
        <v>747</v>
      </c>
      <c r="E5" s="33">
        <v>46066</v>
      </c>
      <c r="F5" s="27">
        <f t="shared" si="1"/>
        <v>0.31892361111385981</v>
      </c>
      <c r="G5" s="27"/>
      <c r="H5" s="27"/>
      <c r="I5" s="27">
        <f t="shared" si="0"/>
        <v>0.72668981481547235</v>
      </c>
      <c r="J5" s="8"/>
      <c r="K5" s="3" t="s">
        <v>6</v>
      </c>
      <c r="L5" s="4">
        <v>0</v>
      </c>
    </row>
    <row r="6" spans="1:12" x14ac:dyDescent="0.25">
      <c r="A6" s="6" t="s">
        <v>56</v>
      </c>
      <c r="B6" s="7" t="s">
        <v>57</v>
      </c>
      <c r="C6" s="2" t="s">
        <v>748</v>
      </c>
      <c r="D6" s="2" t="s">
        <v>749</v>
      </c>
      <c r="E6" s="33">
        <v>46067</v>
      </c>
      <c r="F6" s="27">
        <f t="shared" si="1"/>
        <v>0.30740740741021</v>
      </c>
      <c r="G6" s="27"/>
      <c r="H6" s="27"/>
      <c r="I6" s="27">
        <f t="shared" si="0"/>
        <v>0.73501157407736173</v>
      </c>
      <c r="J6" s="8"/>
      <c r="K6" s="3" t="s">
        <v>7</v>
      </c>
      <c r="L6" s="4">
        <v>0</v>
      </c>
    </row>
    <row r="7" spans="1:12" x14ac:dyDescent="0.25">
      <c r="A7" s="6" t="s">
        <v>56</v>
      </c>
      <c r="B7" s="7" t="s">
        <v>57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56</v>
      </c>
      <c r="B8" s="7" t="s">
        <v>57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56</v>
      </c>
      <c r="B9" s="7" t="s">
        <v>57</v>
      </c>
      <c r="C9" s="2" t="s">
        <v>750</v>
      </c>
      <c r="D9" s="2" t="s">
        <v>751</v>
      </c>
      <c r="E9" s="33">
        <v>46070</v>
      </c>
      <c r="F9" s="27">
        <f t="shared" ref="F9:F10" si="2">C9-E9</f>
        <v>0.31270833333110204</v>
      </c>
      <c r="G9" s="27"/>
      <c r="H9" s="27"/>
      <c r="I9" s="27">
        <f t="shared" si="0"/>
        <v>0.72197916666482342</v>
      </c>
      <c r="J9" s="8"/>
      <c r="K9" s="3" t="s">
        <v>10</v>
      </c>
      <c r="L9" s="4">
        <v>0</v>
      </c>
    </row>
    <row r="10" spans="1:12" x14ac:dyDescent="0.25">
      <c r="A10" s="6" t="s">
        <v>56</v>
      </c>
      <c r="B10" s="7" t="s">
        <v>57</v>
      </c>
      <c r="C10" s="2" t="s">
        <v>752</v>
      </c>
      <c r="D10" s="2" t="s">
        <v>753</v>
      </c>
      <c r="E10" s="33">
        <v>46071</v>
      </c>
      <c r="F10" s="27">
        <f t="shared" si="2"/>
        <v>0.31622685184993315</v>
      </c>
      <c r="G10" s="27"/>
      <c r="H10" s="27"/>
      <c r="I10" s="27">
        <f t="shared" si="0"/>
        <v>0.73467592592351139</v>
      </c>
      <c r="J10" s="8"/>
    </row>
    <row r="11" spans="1:12" x14ac:dyDescent="0.25">
      <c r="A11" s="6" t="s">
        <v>56</v>
      </c>
      <c r="B11" s="7" t="s">
        <v>57</v>
      </c>
      <c r="C11" s="2"/>
      <c r="D11" s="2"/>
      <c r="E11" s="33">
        <v>46072</v>
      </c>
      <c r="F11" s="27"/>
      <c r="G11" s="27"/>
      <c r="H11" s="27"/>
      <c r="I11" s="27"/>
      <c r="J11" s="8" t="s">
        <v>482</v>
      </c>
    </row>
    <row r="12" spans="1:12" x14ac:dyDescent="0.25">
      <c r="A12" s="6" t="s">
        <v>56</v>
      </c>
      <c r="B12" s="7" t="s">
        <v>57</v>
      </c>
      <c r="C12" s="2"/>
      <c r="D12" s="2"/>
      <c r="E12" s="33">
        <v>46073</v>
      </c>
      <c r="F12" s="27"/>
      <c r="G12" s="27"/>
      <c r="H12" s="27"/>
      <c r="I12" s="27"/>
      <c r="J12" s="8" t="s">
        <v>482</v>
      </c>
    </row>
    <row r="13" spans="1:12" x14ac:dyDescent="0.25">
      <c r="A13" s="6" t="s">
        <v>56</v>
      </c>
      <c r="B13" s="7" t="s">
        <v>57</v>
      </c>
      <c r="C13" s="2"/>
      <c r="D13" s="2"/>
      <c r="E13" s="33">
        <v>46074</v>
      </c>
      <c r="F13" s="27"/>
      <c r="G13" s="27"/>
      <c r="H13" s="27"/>
      <c r="I13" s="27"/>
      <c r="J13" s="8" t="s">
        <v>482</v>
      </c>
    </row>
    <row r="14" spans="1:12" x14ac:dyDescent="0.25">
      <c r="A14" s="6" t="s">
        <v>56</v>
      </c>
      <c r="B14" s="7" t="s">
        <v>57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56</v>
      </c>
      <c r="B15" s="7" t="s">
        <v>57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56</v>
      </c>
      <c r="B16" s="7" t="s">
        <v>57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56</v>
      </c>
      <c r="B17" s="7" t="s">
        <v>57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56</v>
      </c>
      <c r="B18" s="7" t="s">
        <v>57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312" priority="25" operator="equal">
      <formula>"UNDERTIME"</formula>
    </cfRule>
  </conditionalFormatting>
  <conditionalFormatting sqref="F3:H18">
    <cfRule type="cellIs" dxfId="311" priority="1" operator="equal">
      <formula>"UNDERTIME"</formula>
    </cfRule>
  </conditionalFormatting>
  <conditionalFormatting sqref="F1:J2 F19:J1048576">
    <cfRule type="cellIs" dxfId="310" priority="16" operator="equal">
      <formula>"UNDERTIME"</formula>
    </cfRule>
  </conditionalFormatting>
  <conditionalFormatting sqref="J1:J2 J14:J1048576">
    <cfRule type="cellIs" dxfId="309" priority="17" operator="equal">
      <formula>"UNDERTIME"</formula>
    </cfRule>
  </conditionalFormatting>
  <conditionalFormatting sqref="J1:J14">
    <cfRule type="cellIs" dxfId="308" priority="7" operator="equal">
      <formula>"OB"</formula>
    </cfRule>
  </conditionalFormatting>
  <conditionalFormatting sqref="J1:J1048576">
    <cfRule type="cellIs" dxfId="307" priority="6" operator="equal">
      <formula>"HOLIDAY"</formula>
    </cfRule>
    <cfRule type="cellIs" dxfId="306" priority="8" operator="equal">
      <formula>"RESTDAY"</formula>
    </cfRule>
    <cfRule type="cellIs" dxfId="305" priority="9" operator="equal">
      <formula>"HALF DAY"</formula>
    </cfRule>
    <cfRule type="cellIs" dxfId="304" priority="10" operator="equal">
      <formula>"ABSENT"</formula>
    </cfRule>
    <cfRule type="cellIs" dxfId="303" priority="12" operator="equal">
      <formula>"ABSENT"</formula>
    </cfRule>
  </conditionalFormatting>
  <conditionalFormatting sqref="J3:J14">
    <cfRule type="cellIs" dxfId="302" priority="11" operator="equal">
      <formula>"UNDERTIME"</formula>
    </cfRule>
  </conditionalFormatting>
  <conditionalFormatting sqref="J3:J18">
    <cfRule type="cellIs" dxfId="301" priority="5" operator="equal">
      <formula>"UNDERTIME"</formula>
    </cfRule>
  </conditionalFormatting>
  <conditionalFormatting sqref="J5:J1048576">
    <cfRule type="cellIs" dxfId="300" priority="14" operator="equal">
      <formula>"OB"</formula>
    </cfRule>
  </conditionalFormatting>
  <conditionalFormatting sqref="J6">
    <cfRule type="cellIs" dxfId="299" priority="4" operator="equal">
      <formula>"OB"</formula>
    </cfRule>
  </conditionalFormatting>
  <conditionalFormatting sqref="J7">
    <cfRule type="cellIs" dxfId="298" priority="15" operator="equal">
      <formula>"OB"</formula>
    </cfRule>
  </conditionalFormatting>
  <conditionalFormatting sqref="J13">
    <cfRule type="cellIs" dxfId="297" priority="13" operator="equal">
      <formula>"OB"</formula>
    </cfRule>
  </conditionalFormatting>
  <conditionalFormatting sqref="J14">
    <cfRule type="cellIs" dxfId="296" priority="3" operator="equal">
      <formula>"OB"</formula>
    </cfRule>
    <cfRule type="cellIs" dxfId="295" priority="18" operator="equal">
      <formula>"OB"</formula>
    </cfRule>
  </conditionalFormatting>
  <conditionalFormatting sqref="J14:J1048576">
    <cfRule type="cellIs" dxfId="294" priority="19" operator="equal">
      <formula>"OB"</formula>
    </cfRule>
  </conditionalFormatting>
  <conditionalFormatting sqref="J17:J18">
    <cfRule type="cellIs" dxfId="293" priority="20" operator="equal">
      <formula>"OB"</formula>
    </cfRule>
  </conditionalFormatting>
  <conditionalFormatting sqref="K6:K8">
    <cfRule type="containsText" dxfId="292" priority="43" operator="containsText" text="SUNDAY">
      <formula>NOT(ISERROR(SEARCH("SUNDAY",K6)))</formula>
    </cfRule>
    <cfRule type="containsText" dxfId="291" priority="44" operator="containsText" text="HOLIDAY">
      <formula>NOT(ISERROR(SEARCH("HOLIDAY",K6)))</formula>
    </cfRule>
  </conditionalFormatting>
  <conditionalFormatting sqref="K9">
    <cfRule type="containsText" dxfId="290" priority="45" operator="containsText" text="SUNDAY">
      <formula>NOT(ISERROR(SEARCH("SUNDAY",K9)))</formula>
    </cfRule>
    <cfRule type="containsText" dxfId="289" priority="46" operator="containsText" text="HOLIDAY">
      <formula>NOT(ISERROR(SEARCH("HOLIDAY",K9)))</formula>
    </cfRule>
  </conditionalFormatting>
  <conditionalFormatting sqref="L5:L9">
    <cfRule type="containsText" dxfId="288" priority="41" operator="containsText" text="SUNDAY">
      <formula>NOT(ISERROR(SEARCH("SUNDAY",L5)))</formula>
    </cfRule>
    <cfRule type="containsText" dxfId="287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8CECA-6BE2-411B-A66E-35BFD5E1034A}">
  <dimension ref="A1:L26"/>
  <sheetViews>
    <sheetView zoomScaleNormal="100" zoomScaleSheetLayoutView="93" workbookViewId="0">
      <selection activeCell="L6" sqref="L6"/>
    </sheetView>
  </sheetViews>
  <sheetFormatPr defaultColWidth="8.85546875" defaultRowHeight="15" x14ac:dyDescent="0.25"/>
  <cols>
    <col min="1" max="1" width="13.28515625" style="1" bestFit="1" customWidth="1"/>
    <col min="2" max="2" width="14.42578125" style="1" bestFit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101</v>
      </c>
      <c r="B3" s="7" t="s">
        <v>102</v>
      </c>
      <c r="C3" s="2" t="s">
        <v>754</v>
      </c>
      <c r="D3" s="2" t="s">
        <v>755</v>
      </c>
      <c r="E3" s="33">
        <v>46064</v>
      </c>
      <c r="F3" s="27">
        <f>C3-E3</f>
        <v>0.32270833333313931</v>
      </c>
      <c r="G3" s="27"/>
      <c r="H3" s="27"/>
      <c r="I3" s="27">
        <f t="shared" ref="I3:I10" si="0">D3-E3</f>
        <v>0.70869212962861639</v>
      </c>
      <c r="J3" s="8"/>
    </row>
    <row r="4" spans="1:12" x14ac:dyDescent="0.25">
      <c r="A4" s="6" t="s">
        <v>101</v>
      </c>
      <c r="B4" s="7" t="s">
        <v>102</v>
      </c>
      <c r="C4" s="2" t="s">
        <v>756</v>
      </c>
      <c r="D4" s="2" t="s">
        <v>757</v>
      </c>
      <c r="E4" s="33">
        <v>46065</v>
      </c>
      <c r="F4" s="27">
        <f t="shared" ref="F4:F6" si="1">C4-E4</f>
        <v>0.33391203703649808</v>
      </c>
      <c r="G4" s="27"/>
      <c r="H4" s="27"/>
      <c r="I4" s="27">
        <f t="shared" si="0"/>
        <v>0.708356481482042</v>
      </c>
      <c r="J4" s="8"/>
    </row>
    <row r="5" spans="1:12" x14ac:dyDescent="0.25">
      <c r="A5" s="6" t="s">
        <v>101</v>
      </c>
      <c r="B5" s="7" t="s">
        <v>102</v>
      </c>
      <c r="C5" s="2" t="s">
        <v>758</v>
      </c>
      <c r="D5" s="2" t="s">
        <v>759</v>
      </c>
      <c r="E5" s="33">
        <v>46066</v>
      </c>
      <c r="F5" s="27">
        <f t="shared" si="1"/>
        <v>0.31174768518394558</v>
      </c>
      <c r="G5" s="27"/>
      <c r="H5" s="27"/>
      <c r="I5" s="27">
        <f t="shared" si="0"/>
        <v>0.70850694444379769</v>
      </c>
      <c r="J5" s="8"/>
      <c r="K5" s="3" t="s">
        <v>6</v>
      </c>
      <c r="L5" s="4">
        <v>0</v>
      </c>
    </row>
    <row r="6" spans="1:12" x14ac:dyDescent="0.25">
      <c r="A6" s="6" t="s">
        <v>101</v>
      </c>
      <c r="B6" s="7" t="s">
        <v>102</v>
      </c>
      <c r="C6" s="2" t="s">
        <v>760</v>
      </c>
      <c r="D6" s="2" t="s">
        <v>761</v>
      </c>
      <c r="E6" s="33">
        <v>46067</v>
      </c>
      <c r="F6" s="27">
        <f t="shared" si="1"/>
        <v>0.31379629629373085</v>
      </c>
      <c r="G6" s="27"/>
      <c r="H6" s="27"/>
      <c r="I6" s="27">
        <f t="shared" si="0"/>
        <v>0.70848379629751435</v>
      </c>
      <c r="J6" s="8"/>
      <c r="K6" s="3" t="s">
        <v>7</v>
      </c>
      <c r="L6" s="4">
        <v>1</v>
      </c>
    </row>
    <row r="7" spans="1:12" x14ac:dyDescent="0.25">
      <c r="A7" s="6" t="s">
        <v>101</v>
      </c>
      <c r="B7" s="7" t="s">
        <v>102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101</v>
      </c>
      <c r="B8" s="7" t="s">
        <v>102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101</v>
      </c>
      <c r="B9" s="7" t="s">
        <v>102</v>
      </c>
      <c r="C9" s="2" t="s">
        <v>762</v>
      </c>
      <c r="D9" s="2" t="s">
        <v>763</v>
      </c>
      <c r="E9" s="33">
        <v>46070</v>
      </c>
      <c r="F9" s="27">
        <f t="shared" ref="F9:F11" si="2">C9-E9</f>
        <v>0.30623842592467554</v>
      </c>
      <c r="G9" s="27"/>
      <c r="H9" s="27"/>
      <c r="I9" s="27">
        <f t="shared" si="0"/>
        <v>0.708391203705105</v>
      </c>
      <c r="J9" s="8"/>
      <c r="K9" s="3" t="s">
        <v>10</v>
      </c>
      <c r="L9" s="4">
        <v>0</v>
      </c>
    </row>
    <row r="10" spans="1:12" x14ac:dyDescent="0.25">
      <c r="A10" s="6" t="s">
        <v>101</v>
      </c>
      <c r="B10" s="7" t="s">
        <v>102</v>
      </c>
      <c r="C10" s="2" t="s">
        <v>764</v>
      </c>
      <c r="D10" s="2" t="s">
        <v>765</v>
      </c>
      <c r="E10" s="33">
        <v>46071</v>
      </c>
      <c r="F10" s="27">
        <f t="shared" si="2"/>
        <v>0.32305555555649335</v>
      </c>
      <c r="G10" s="27"/>
      <c r="H10" s="27"/>
      <c r="I10" s="27">
        <f t="shared" si="0"/>
        <v>0.70861111111298669</v>
      </c>
      <c r="J10" s="8"/>
    </row>
    <row r="11" spans="1:12" x14ac:dyDescent="0.25">
      <c r="A11" s="6" t="s">
        <v>101</v>
      </c>
      <c r="B11" s="7" t="s">
        <v>102</v>
      </c>
      <c r="C11" s="2" t="s">
        <v>766</v>
      </c>
      <c r="D11" s="2"/>
      <c r="E11" s="33">
        <v>46072</v>
      </c>
      <c r="F11" s="27">
        <f t="shared" si="2"/>
        <v>6.6493055557657499E-2</v>
      </c>
      <c r="G11" s="27"/>
      <c r="H11" s="27"/>
      <c r="I11" s="27"/>
      <c r="J11" s="8" t="s">
        <v>482</v>
      </c>
    </row>
    <row r="12" spans="1:12" x14ac:dyDescent="0.25">
      <c r="A12" s="6" t="s">
        <v>101</v>
      </c>
      <c r="B12" s="7" t="s">
        <v>102</v>
      </c>
      <c r="C12" s="2"/>
      <c r="D12" s="2"/>
      <c r="E12" s="33">
        <v>46073</v>
      </c>
      <c r="F12" s="27"/>
      <c r="G12" s="27"/>
      <c r="H12" s="27"/>
      <c r="I12" s="27"/>
      <c r="J12" s="8" t="s">
        <v>482</v>
      </c>
    </row>
    <row r="13" spans="1:12" x14ac:dyDescent="0.25">
      <c r="A13" s="6" t="s">
        <v>101</v>
      </c>
      <c r="B13" s="7" t="s">
        <v>102</v>
      </c>
      <c r="C13" s="2"/>
      <c r="D13" s="2"/>
      <c r="E13" s="33">
        <v>46074</v>
      </c>
      <c r="F13" s="27"/>
      <c r="G13" s="27"/>
      <c r="H13" s="27"/>
      <c r="I13" s="27"/>
      <c r="J13" s="8" t="s">
        <v>482</v>
      </c>
    </row>
    <row r="14" spans="1:12" x14ac:dyDescent="0.25">
      <c r="A14" s="6" t="s">
        <v>101</v>
      </c>
      <c r="B14" s="7" t="s">
        <v>102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101</v>
      </c>
      <c r="B15" s="7" t="s">
        <v>102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101</v>
      </c>
      <c r="B16" s="7" t="s">
        <v>102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101</v>
      </c>
      <c r="B17" s="7" t="s">
        <v>102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101</v>
      </c>
      <c r="B18" s="7" t="s">
        <v>102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C19" s="2"/>
      <c r="D19" s="2"/>
      <c r="E19" s="33"/>
      <c r="F19" s="27"/>
      <c r="I19" s="27"/>
      <c r="J19" s="8"/>
    </row>
    <row r="20" spans="1:10" ht="15.75" thickBot="1" x14ac:dyDescent="0.3">
      <c r="A20" s="9" t="s">
        <v>106</v>
      </c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286" priority="25" operator="equal">
      <formula>"UNDERTIME"</formula>
    </cfRule>
  </conditionalFormatting>
  <conditionalFormatting sqref="F3:H18">
    <cfRule type="cellIs" dxfId="285" priority="1" operator="equal">
      <formula>"UNDERTIME"</formula>
    </cfRule>
  </conditionalFormatting>
  <conditionalFormatting sqref="F1:J2 F19:J1048576">
    <cfRule type="cellIs" dxfId="284" priority="16" operator="equal">
      <formula>"UNDERTIME"</formula>
    </cfRule>
  </conditionalFormatting>
  <conditionalFormatting sqref="J1:J2 J14:J1048576">
    <cfRule type="cellIs" dxfId="283" priority="17" operator="equal">
      <formula>"UNDERTIME"</formula>
    </cfRule>
  </conditionalFormatting>
  <conditionalFormatting sqref="J1:J14">
    <cfRule type="cellIs" dxfId="282" priority="7" operator="equal">
      <formula>"OB"</formula>
    </cfRule>
  </conditionalFormatting>
  <conditionalFormatting sqref="J1:J1048576">
    <cfRule type="cellIs" dxfId="281" priority="6" operator="equal">
      <formula>"HOLIDAY"</formula>
    </cfRule>
    <cfRule type="cellIs" dxfId="280" priority="8" operator="equal">
      <formula>"RESTDAY"</formula>
    </cfRule>
    <cfRule type="cellIs" dxfId="279" priority="9" operator="equal">
      <formula>"HALF DAY"</formula>
    </cfRule>
    <cfRule type="cellIs" dxfId="278" priority="10" operator="equal">
      <formula>"ABSENT"</formula>
    </cfRule>
    <cfRule type="cellIs" dxfId="277" priority="12" operator="equal">
      <formula>"ABSENT"</formula>
    </cfRule>
  </conditionalFormatting>
  <conditionalFormatting sqref="J3:J14">
    <cfRule type="cellIs" dxfId="276" priority="11" operator="equal">
      <formula>"UNDERTIME"</formula>
    </cfRule>
  </conditionalFormatting>
  <conditionalFormatting sqref="J3:J18">
    <cfRule type="cellIs" dxfId="275" priority="5" operator="equal">
      <formula>"UNDERTIME"</formula>
    </cfRule>
  </conditionalFormatting>
  <conditionalFormatting sqref="J5:J1048576">
    <cfRule type="cellIs" dxfId="274" priority="14" operator="equal">
      <formula>"OB"</formula>
    </cfRule>
  </conditionalFormatting>
  <conditionalFormatting sqref="J6">
    <cfRule type="cellIs" dxfId="273" priority="4" operator="equal">
      <formula>"OB"</formula>
    </cfRule>
  </conditionalFormatting>
  <conditionalFormatting sqref="J7">
    <cfRule type="cellIs" dxfId="272" priority="15" operator="equal">
      <formula>"OB"</formula>
    </cfRule>
  </conditionalFormatting>
  <conditionalFormatting sqref="J13">
    <cfRule type="cellIs" dxfId="271" priority="13" operator="equal">
      <formula>"OB"</formula>
    </cfRule>
  </conditionalFormatting>
  <conditionalFormatting sqref="J14">
    <cfRule type="cellIs" dxfId="270" priority="3" operator="equal">
      <formula>"OB"</formula>
    </cfRule>
    <cfRule type="cellIs" dxfId="269" priority="18" operator="equal">
      <formula>"OB"</formula>
    </cfRule>
  </conditionalFormatting>
  <conditionalFormatting sqref="J14:J1048576">
    <cfRule type="cellIs" dxfId="268" priority="19" operator="equal">
      <formula>"OB"</formula>
    </cfRule>
  </conditionalFormatting>
  <conditionalFormatting sqref="J17:J18">
    <cfRule type="cellIs" dxfId="267" priority="20" operator="equal">
      <formula>"OB"</formula>
    </cfRule>
  </conditionalFormatting>
  <conditionalFormatting sqref="K6:K8">
    <cfRule type="containsText" dxfId="266" priority="43" operator="containsText" text="SUNDAY">
      <formula>NOT(ISERROR(SEARCH("SUNDAY",K6)))</formula>
    </cfRule>
    <cfRule type="containsText" dxfId="265" priority="44" operator="containsText" text="HOLIDAY">
      <formula>NOT(ISERROR(SEARCH("HOLIDAY",K6)))</formula>
    </cfRule>
  </conditionalFormatting>
  <conditionalFormatting sqref="K9">
    <cfRule type="containsText" dxfId="264" priority="45" operator="containsText" text="SUNDAY">
      <formula>NOT(ISERROR(SEARCH("SUNDAY",K9)))</formula>
    </cfRule>
    <cfRule type="containsText" dxfId="263" priority="46" operator="containsText" text="HOLIDAY">
      <formula>NOT(ISERROR(SEARCH("HOLIDAY",K9)))</formula>
    </cfRule>
  </conditionalFormatting>
  <conditionalFormatting sqref="L5:L9">
    <cfRule type="containsText" dxfId="262" priority="41" operator="containsText" text="SUNDAY">
      <formula>NOT(ISERROR(SEARCH("SUNDAY",L5)))</formula>
    </cfRule>
    <cfRule type="containsText" dxfId="261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F84A-3C48-4829-8771-598B1360B691}">
  <dimension ref="A1:L26"/>
  <sheetViews>
    <sheetView zoomScaleNormal="100" zoomScaleSheetLayoutView="93" workbookViewId="0">
      <selection activeCell="L6" sqref="L6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34"/>
      <c r="B2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58</v>
      </c>
      <c r="B3" s="7" t="s">
        <v>59</v>
      </c>
      <c r="C3" s="2" t="s">
        <v>767</v>
      </c>
      <c r="D3" s="2" t="s">
        <v>768</v>
      </c>
      <c r="E3" s="33">
        <v>46064</v>
      </c>
      <c r="F3" s="27">
        <f>C3-E3</f>
        <v>0.33148148148029577</v>
      </c>
      <c r="G3" s="27"/>
      <c r="H3" s="27"/>
      <c r="I3" s="27">
        <f t="shared" ref="I3:I13" si="0">D3-E3</f>
        <v>0.71672453703649808</v>
      </c>
      <c r="J3" s="8"/>
    </row>
    <row r="4" spans="1:12" x14ac:dyDescent="0.25">
      <c r="A4" s="6" t="s">
        <v>58</v>
      </c>
      <c r="B4" s="7" t="s">
        <v>59</v>
      </c>
      <c r="C4" s="2" t="s">
        <v>769</v>
      </c>
      <c r="D4" s="2" t="s">
        <v>770</v>
      </c>
      <c r="E4" s="33">
        <v>46065</v>
      </c>
      <c r="F4" s="27">
        <f t="shared" ref="F4:F6" si="1">C4-E4</f>
        <v>0.32741898148378823</v>
      </c>
      <c r="G4" s="27"/>
      <c r="H4" s="27"/>
      <c r="I4" s="27">
        <f t="shared" si="0"/>
        <v>0.72145833333343035</v>
      </c>
      <c r="J4" s="8"/>
    </row>
    <row r="5" spans="1:12" x14ac:dyDescent="0.25">
      <c r="A5" s="6" t="s">
        <v>58</v>
      </c>
      <c r="B5" s="7" t="s">
        <v>59</v>
      </c>
      <c r="C5" s="2" t="s">
        <v>771</v>
      </c>
      <c r="D5" s="2" t="s">
        <v>772</v>
      </c>
      <c r="E5" s="33">
        <v>46066</v>
      </c>
      <c r="F5" s="27">
        <f t="shared" si="1"/>
        <v>0.33184027778042946</v>
      </c>
      <c r="G5" s="27"/>
      <c r="H5" s="27"/>
      <c r="I5" s="27">
        <f t="shared" si="0"/>
        <v>0.716203703705105</v>
      </c>
      <c r="J5" s="8"/>
      <c r="K5" s="3" t="s">
        <v>6</v>
      </c>
      <c r="L5" s="4">
        <v>0</v>
      </c>
    </row>
    <row r="6" spans="1:12" x14ac:dyDescent="0.25">
      <c r="A6" s="6" t="s">
        <v>58</v>
      </c>
      <c r="B6" s="7" t="s">
        <v>59</v>
      </c>
      <c r="C6" s="2" t="s">
        <v>773</v>
      </c>
      <c r="D6" s="2" t="s">
        <v>774</v>
      </c>
      <c r="E6" s="33">
        <v>46067</v>
      </c>
      <c r="F6" s="27">
        <f t="shared" si="1"/>
        <v>0.32486111111211358</v>
      </c>
      <c r="G6" s="27"/>
      <c r="H6" s="27"/>
      <c r="I6" s="27">
        <f t="shared" si="0"/>
        <v>0.71568287037371192</v>
      </c>
      <c r="J6" s="8"/>
      <c r="K6" s="3" t="s">
        <v>7</v>
      </c>
      <c r="L6" s="4">
        <v>1.5</v>
      </c>
    </row>
    <row r="7" spans="1:12" x14ac:dyDescent="0.25">
      <c r="A7" s="6" t="s">
        <v>58</v>
      </c>
      <c r="B7" s="7" t="s">
        <v>59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58</v>
      </c>
      <c r="B8" s="7" t="s">
        <v>59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58</v>
      </c>
      <c r="B9" s="7" t="s">
        <v>59</v>
      </c>
      <c r="C9" s="2" t="s">
        <v>775</v>
      </c>
      <c r="D9" s="2" t="s">
        <v>776</v>
      </c>
      <c r="E9" s="33">
        <v>46070</v>
      </c>
      <c r="F9" s="27">
        <f t="shared" ref="F9:F13" si="2">C9-E9</f>
        <v>0.32068287036963739</v>
      </c>
      <c r="G9" s="27"/>
      <c r="H9" s="27"/>
      <c r="I9" s="27">
        <f t="shared" si="0"/>
        <v>0.72185185184935108</v>
      </c>
      <c r="J9" s="8"/>
      <c r="K9" s="3" t="s">
        <v>10</v>
      </c>
      <c r="L9" s="4">
        <v>0</v>
      </c>
    </row>
    <row r="10" spans="1:12" x14ac:dyDescent="0.25">
      <c r="A10" s="6" t="s">
        <v>58</v>
      </c>
      <c r="B10" s="7" t="s">
        <v>59</v>
      </c>
      <c r="C10" s="2" t="s">
        <v>777</v>
      </c>
      <c r="D10" s="2" t="s">
        <v>778</v>
      </c>
      <c r="E10" s="33">
        <v>46071</v>
      </c>
      <c r="F10" s="27">
        <f t="shared" si="2"/>
        <v>0.32131944444699911</v>
      </c>
      <c r="G10" s="27"/>
      <c r="H10" s="27"/>
      <c r="I10" s="27">
        <f t="shared" si="0"/>
        <v>0.71749999999883585</v>
      </c>
      <c r="J10" s="8"/>
    </row>
    <row r="11" spans="1:12" x14ac:dyDescent="0.25">
      <c r="A11" s="6" t="s">
        <v>58</v>
      </c>
      <c r="B11" s="7" t="s">
        <v>59</v>
      </c>
      <c r="C11" s="2" t="s">
        <v>779</v>
      </c>
      <c r="D11" s="2" t="s">
        <v>780</v>
      </c>
      <c r="E11" s="33">
        <v>46072</v>
      </c>
      <c r="F11" s="27">
        <f t="shared" si="2"/>
        <v>0.32023148148437031</v>
      </c>
      <c r="G11" s="27"/>
      <c r="H11" s="27"/>
      <c r="I11" s="27">
        <f t="shared" si="0"/>
        <v>0.74024305555212777</v>
      </c>
      <c r="J11" s="8"/>
    </row>
    <row r="12" spans="1:12" x14ac:dyDescent="0.25">
      <c r="A12" s="6" t="s">
        <v>58</v>
      </c>
      <c r="B12" s="7" t="s">
        <v>59</v>
      </c>
      <c r="C12" s="2" t="s">
        <v>781</v>
      </c>
      <c r="D12" s="2" t="s">
        <v>782</v>
      </c>
      <c r="E12" s="33">
        <v>46073</v>
      </c>
      <c r="F12" s="27">
        <f t="shared" si="2"/>
        <v>0.32449074074247619</v>
      </c>
      <c r="G12" s="27"/>
      <c r="H12" s="27"/>
      <c r="I12" s="27">
        <f t="shared" si="0"/>
        <v>0.71119212963094469</v>
      </c>
      <c r="J12" s="8"/>
    </row>
    <row r="13" spans="1:12" x14ac:dyDescent="0.25">
      <c r="A13" s="6" t="s">
        <v>58</v>
      </c>
      <c r="B13" s="7" t="s">
        <v>59</v>
      </c>
      <c r="C13" s="2" t="s">
        <v>783</v>
      </c>
      <c r="D13" s="2" t="s">
        <v>784</v>
      </c>
      <c r="E13" s="33">
        <v>46074</v>
      </c>
      <c r="F13" s="27">
        <f t="shared" si="2"/>
        <v>0.32231481481721858</v>
      </c>
      <c r="G13" s="27"/>
      <c r="H13" s="27"/>
      <c r="I13" s="27">
        <f t="shared" si="0"/>
        <v>0.50165509259386454</v>
      </c>
      <c r="J13" s="8" t="s">
        <v>261</v>
      </c>
    </row>
    <row r="14" spans="1:12" x14ac:dyDescent="0.25">
      <c r="A14" s="6" t="s">
        <v>58</v>
      </c>
      <c r="B14" s="7" t="s">
        <v>59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58</v>
      </c>
      <c r="B15" s="7" t="s">
        <v>59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58</v>
      </c>
      <c r="B16" s="7" t="s">
        <v>59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58</v>
      </c>
      <c r="B17" s="7" t="s">
        <v>59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58</v>
      </c>
      <c r="B18" s="7" t="s">
        <v>59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260" priority="25" operator="equal">
      <formula>"UNDERTIME"</formula>
    </cfRule>
  </conditionalFormatting>
  <conditionalFormatting sqref="F3:H18">
    <cfRule type="cellIs" dxfId="259" priority="1" operator="equal">
      <formula>"UNDERTIME"</formula>
    </cfRule>
  </conditionalFormatting>
  <conditionalFormatting sqref="F1:J2 F19:J1048576">
    <cfRule type="cellIs" dxfId="258" priority="16" operator="equal">
      <formula>"UNDERTIME"</formula>
    </cfRule>
  </conditionalFormatting>
  <conditionalFormatting sqref="J1:J2 J14:J1048576">
    <cfRule type="cellIs" dxfId="257" priority="17" operator="equal">
      <formula>"UNDERTIME"</formula>
    </cfRule>
  </conditionalFormatting>
  <conditionalFormatting sqref="J1:J14">
    <cfRule type="cellIs" dxfId="256" priority="7" operator="equal">
      <formula>"OB"</formula>
    </cfRule>
  </conditionalFormatting>
  <conditionalFormatting sqref="J1:J1048576">
    <cfRule type="cellIs" dxfId="255" priority="6" operator="equal">
      <formula>"HOLIDAY"</formula>
    </cfRule>
    <cfRule type="cellIs" dxfId="254" priority="8" operator="equal">
      <formula>"RESTDAY"</formula>
    </cfRule>
    <cfRule type="cellIs" dxfId="253" priority="9" operator="equal">
      <formula>"HALF DAY"</formula>
    </cfRule>
    <cfRule type="cellIs" dxfId="252" priority="10" operator="equal">
      <formula>"ABSENT"</formula>
    </cfRule>
    <cfRule type="cellIs" dxfId="251" priority="12" operator="equal">
      <formula>"ABSENT"</formula>
    </cfRule>
  </conditionalFormatting>
  <conditionalFormatting sqref="J3:J14">
    <cfRule type="cellIs" dxfId="250" priority="11" operator="equal">
      <formula>"UNDERTIME"</formula>
    </cfRule>
  </conditionalFormatting>
  <conditionalFormatting sqref="J3:J18">
    <cfRule type="cellIs" dxfId="249" priority="5" operator="equal">
      <formula>"UNDERTIME"</formula>
    </cfRule>
  </conditionalFormatting>
  <conditionalFormatting sqref="J5:J1048576">
    <cfRule type="cellIs" dxfId="248" priority="14" operator="equal">
      <formula>"OB"</formula>
    </cfRule>
  </conditionalFormatting>
  <conditionalFormatting sqref="J6">
    <cfRule type="cellIs" dxfId="247" priority="4" operator="equal">
      <formula>"OB"</formula>
    </cfRule>
  </conditionalFormatting>
  <conditionalFormatting sqref="J7">
    <cfRule type="cellIs" dxfId="246" priority="15" operator="equal">
      <formula>"OB"</formula>
    </cfRule>
  </conditionalFormatting>
  <conditionalFormatting sqref="J13">
    <cfRule type="cellIs" dxfId="245" priority="13" operator="equal">
      <formula>"OB"</formula>
    </cfRule>
  </conditionalFormatting>
  <conditionalFormatting sqref="J14">
    <cfRule type="cellIs" dxfId="244" priority="3" operator="equal">
      <formula>"OB"</formula>
    </cfRule>
    <cfRule type="cellIs" dxfId="243" priority="18" operator="equal">
      <formula>"OB"</formula>
    </cfRule>
  </conditionalFormatting>
  <conditionalFormatting sqref="J14:J1048576">
    <cfRule type="cellIs" dxfId="242" priority="19" operator="equal">
      <formula>"OB"</formula>
    </cfRule>
  </conditionalFormatting>
  <conditionalFormatting sqref="J17:J18">
    <cfRule type="cellIs" dxfId="241" priority="20" operator="equal">
      <formula>"OB"</formula>
    </cfRule>
  </conditionalFormatting>
  <conditionalFormatting sqref="K6:K8">
    <cfRule type="containsText" dxfId="240" priority="43" operator="containsText" text="SUNDAY">
      <formula>NOT(ISERROR(SEARCH("SUNDAY",K6)))</formula>
    </cfRule>
    <cfRule type="containsText" dxfId="239" priority="44" operator="containsText" text="HOLIDAY">
      <formula>NOT(ISERROR(SEARCH("HOLIDAY",K6)))</formula>
    </cfRule>
  </conditionalFormatting>
  <conditionalFormatting sqref="K9">
    <cfRule type="containsText" dxfId="238" priority="45" operator="containsText" text="SUNDAY">
      <formula>NOT(ISERROR(SEARCH("SUNDAY",K9)))</formula>
    </cfRule>
    <cfRule type="containsText" dxfId="237" priority="46" operator="containsText" text="HOLIDAY">
      <formula>NOT(ISERROR(SEARCH("HOLIDAY",K9)))</formula>
    </cfRule>
  </conditionalFormatting>
  <conditionalFormatting sqref="L5:L9">
    <cfRule type="containsText" dxfId="236" priority="41" operator="containsText" text="SUNDAY">
      <formula>NOT(ISERROR(SEARCH("SUNDAY",L5)))</formula>
    </cfRule>
    <cfRule type="containsText" dxfId="235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A780-6D53-498D-9A12-1F2105F78F24}">
  <dimension ref="A1:L26"/>
  <sheetViews>
    <sheetView zoomScaleNormal="100" zoomScaleSheetLayoutView="93" workbookViewId="0">
      <selection activeCell="L6" sqref="L6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60</v>
      </c>
      <c r="B3" s="7" t="s">
        <v>61</v>
      </c>
      <c r="C3" s="2" t="s">
        <v>785</v>
      </c>
      <c r="D3" s="2" t="s">
        <v>786</v>
      </c>
      <c r="E3" s="33">
        <v>46064</v>
      </c>
      <c r="F3" s="27">
        <f>C3-E3</f>
        <v>0.32184027777839219</v>
      </c>
      <c r="G3" s="27"/>
      <c r="H3" s="27"/>
      <c r="I3" s="27">
        <f t="shared" ref="I3:I13" si="0">D3-E3</f>
        <v>0.70918981481372612</v>
      </c>
      <c r="J3" s="8"/>
    </row>
    <row r="4" spans="1:12" x14ac:dyDescent="0.25">
      <c r="A4" s="6" t="s">
        <v>60</v>
      </c>
      <c r="B4" s="7" t="s">
        <v>61</v>
      </c>
      <c r="C4" s="2" t="s">
        <v>787</v>
      </c>
      <c r="D4" s="2" t="s">
        <v>788</v>
      </c>
      <c r="E4" s="33">
        <v>46065</v>
      </c>
      <c r="F4" s="27">
        <f t="shared" ref="F4:F6" si="1">C4-E4</f>
        <v>0.32952546296291985</v>
      </c>
      <c r="G4" s="27"/>
      <c r="H4" s="27"/>
      <c r="I4" s="27">
        <f t="shared" si="0"/>
        <v>0.70964120370626915</v>
      </c>
      <c r="J4" s="8"/>
    </row>
    <row r="5" spans="1:12" x14ac:dyDescent="0.25">
      <c r="A5" s="6" t="s">
        <v>60</v>
      </c>
      <c r="B5" s="7" t="s">
        <v>61</v>
      </c>
      <c r="C5" s="2" t="s">
        <v>789</v>
      </c>
      <c r="D5" s="2" t="s">
        <v>790</v>
      </c>
      <c r="E5" s="33">
        <v>46066</v>
      </c>
      <c r="F5" s="27">
        <f t="shared" si="1"/>
        <v>0.33329861111269565</v>
      </c>
      <c r="G5" s="27"/>
      <c r="H5" s="27"/>
      <c r="I5" s="27">
        <f t="shared" si="0"/>
        <v>0.70994212962978054</v>
      </c>
      <c r="J5" s="8"/>
      <c r="K5" s="3" t="s">
        <v>6</v>
      </c>
      <c r="L5" s="4">
        <v>0</v>
      </c>
    </row>
    <row r="6" spans="1:12" x14ac:dyDescent="0.25">
      <c r="A6" s="6" t="s">
        <v>60</v>
      </c>
      <c r="B6" s="7" t="s">
        <v>61</v>
      </c>
      <c r="C6" s="2" t="s">
        <v>791</v>
      </c>
      <c r="D6" s="2" t="s">
        <v>792</v>
      </c>
      <c r="E6" s="33">
        <v>46067</v>
      </c>
      <c r="F6" s="27">
        <f t="shared" si="1"/>
        <v>0.27011574074276723</v>
      </c>
      <c r="G6" s="27"/>
      <c r="H6" s="27"/>
      <c r="I6" s="27">
        <f t="shared" si="0"/>
        <v>0.71060185185342561</v>
      </c>
      <c r="J6" s="8"/>
      <c r="K6" s="3" t="s">
        <v>7</v>
      </c>
      <c r="L6" s="4">
        <v>0</v>
      </c>
    </row>
    <row r="7" spans="1:12" x14ac:dyDescent="0.25">
      <c r="A7" s="6" t="s">
        <v>60</v>
      </c>
      <c r="B7" s="7" t="s">
        <v>61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60</v>
      </c>
      <c r="B8" s="7" t="s">
        <v>61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60</v>
      </c>
      <c r="B9" s="7" t="s">
        <v>61</v>
      </c>
      <c r="C9" s="2" t="s">
        <v>793</v>
      </c>
      <c r="D9" s="2" t="s">
        <v>794</v>
      </c>
      <c r="E9" s="33">
        <v>46070</v>
      </c>
      <c r="F9" s="27">
        <f t="shared" ref="F9:F13" si="2">C9-E9</f>
        <v>0.33122685184935108</v>
      </c>
      <c r="G9" s="27"/>
      <c r="H9" s="27"/>
      <c r="I9" s="27">
        <f t="shared" si="0"/>
        <v>0.70922453703678912</v>
      </c>
      <c r="J9" s="8"/>
      <c r="K9" s="3" t="s">
        <v>10</v>
      </c>
      <c r="L9" s="4">
        <v>0</v>
      </c>
    </row>
    <row r="10" spans="1:12" x14ac:dyDescent="0.25">
      <c r="A10" s="6" t="s">
        <v>60</v>
      </c>
      <c r="B10" s="7" t="s">
        <v>61</v>
      </c>
      <c r="C10" s="2" t="s">
        <v>795</v>
      </c>
      <c r="D10" s="2" t="s">
        <v>796</v>
      </c>
      <c r="E10" s="33">
        <v>46071</v>
      </c>
      <c r="F10" s="27">
        <f t="shared" si="2"/>
        <v>0.32298611111036735</v>
      </c>
      <c r="G10" s="27"/>
      <c r="H10" s="27"/>
      <c r="I10" s="27">
        <f t="shared" si="0"/>
        <v>0.71658564815152204</v>
      </c>
      <c r="J10" s="8"/>
    </row>
    <row r="11" spans="1:12" x14ac:dyDescent="0.25">
      <c r="A11" s="6" t="s">
        <v>60</v>
      </c>
      <c r="B11" s="7" t="s">
        <v>61</v>
      </c>
      <c r="C11" s="2" t="s">
        <v>797</v>
      </c>
      <c r="D11" s="2" t="s">
        <v>798</v>
      </c>
      <c r="E11" s="33">
        <v>46072</v>
      </c>
      <c r="F11" s="27">
        <f t="shared" si="2"/>
        <v>0.32655092592904111</v>
      </c>
      <c r="G11" s="27"/>
      <c r="H11" s="27"/>
      <c r="I11" s="27">
        <f t="shared" si="0"/>
        <v>0.70857638888992369</v>
      </c>
      <c r="J11" s="8"/>
    </row>
    <row r="12" spans="1:12" x14ac:dyDescent="0.25">
      <c r="A12" s="6" t="s">
        <v>60</v>
      </c>
      <c r="B12" s="7" t="s">
        <v>61</v>
      </c>
      <c r="C12" s="2" t="s">
        <v>799</v>
      </c>
      <c r="D12" s="2" t="s">
        <v>800</v>
      </c>
      <c r="E12" s="33">
        <v>46073</v>
      </c>
      <c r="F12" s="27">
        <f t="shared" si="2"/>
        <v>0.33207175925781485</v>
      </c>
      <c r="G12" s="27"/>
      <c r="H12" s="27"/>
      <c r="I12" s="27">
        <f t="shared" si="0"/>
        <v>0.7094907407372375</v>
      </c>
      <c r="J12" s="8"/>
    </row>
    <row r="13" spans="1:12" x14ac:dyDescent="0.25">
      <c r="A13" s="6" t="s">
        <v>60</v>
      </c>
      <c r="B13" s="7" t="s">
        <v>61</v>
      </c>
      <c r="C13" s="2" t="s">
        <v>801</v>
      </c>
      <c r="D13" s="2" t="s">
        <v>802</v>
      </c>
      <c r="E13" s="33">
        <v>46074</v>
      </c>
      <c r="F13" s="27">
        <f t="shared" si="2"/>
        <v>0.33381944444408873</v>
      </c>
      <c r="G13" s="27"/>
      <c r="H13" s="27"/>
      <c r="I13" s="27">
        <f t="shared" si="0"/>
        <v>0.71178240740846377</v>
      </c>
      <c r="J13" s="8"/>
    </row>
    <row r="14" spans="1:12" x14ac:dyDescent="0.25">
      <c r="A14" s="6" t="s">
        <v>60</v>
      </c>
      <c r="B14" s="7" t="s">
        <v>61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60</v>
      </c>
      <c r="B15" s="7" t="s">
        <v>61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60</v>
      </c>
      <c r="B16" s="7" t="s">
        <v>61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ht="15.75" customHeight="1" x14ac:dyDescent="0.25">
      <c r="A17" s="6" t="s">
        <v>60</v>
      </c>
      <c r="B17" s="7" t="s">
        <v>61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60</v>
      </c>
      <c r="B18" s="7" t="s">
        <v>61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234" priority="25" operator="equal">
      <formula>"UNDERTIME"</formula>
    </cfRule>
  </conditionalFormatting>
  <conditionalFormatting sqref="F3:H18">
    <cfRule type="cellIs" dxfId="233" priority="1" operator="equal">
      <formula>"UNDERTIME"</formula>
    </cfRule>
  </conditionalFormatting>
  <conditionalFormatting sqref="F1:J2 F19:J1048576">
    <cfRule type="cellIs" dxfId="232" priority="16" operator="equal">
      <formula>"UNDERTIME"</formula>
    </cfRule>
  </conditionalFormatting>
  <conditionalFormatting sqref="J1:J2 J14:J1048576">
    <cfRule type="cellIs" dxfId="231" priority="17" operator="equal">
      <formula>"UNDERTIME"</formula>
    </cfRule>
  </conditionalFormatting>
  <conditionalFormatting sqref="J1:J14">
    <cfRule type="cellIs" dxfId="230" priority="7" operator="equal">
      <formula>"OB"</formula>
    </cfRule>
  </conditionalFormatting>
  <conditionalFormatting sqref="J1:J1048576">
    <cfRule type="cellIs" dxfId="229" priority="6" operator="equal">
      <formula>"HOLIDAY"</formula>
    </cfRule>
    <cfRule type="cellIs" dxfId="228" priority="8" operator="equal">
      <formula>"RESTDAY"</formula>
    </cfRule>
    <cfRule type="cellIs" dxfId="227" priority="9" operator="equal">
      <formula>"HALF DAY"</formula>
    </cfRule>
    <cfRule type="cellIs" dxfId="226" priority="10" operator="equal">
      <formula>"ABSENT"</formula>
    </cfRule>
    <cfRule type="cellIs" dxfId="225" priority="12" operator="equal">
      <formula>"ABSENT"</formula>
    </cfRule>
  </conditionalFormatting>
  <conditionalFormatting sqref="J3:J14">
    <cfRule type="cellIs" dxfId="224" priority="11" operator="equal">
      <formula>"UNDERTIME"</formula>
    </cfRule>
  </conditionalFormatting>
  <conditionalFormatting sqref="J3:J18">
    <cfRule type="cellIs" dxfId="223" priority="5" operator="equal">
      <formula>"UNDERTIME"</formula>
    </cfRule>
  </conditionalFormatting>
  <conditionalFormatting sqref="J5:J1048576">
    <cfRule type="cellIs" dxfId="222" priority="14" operator="equal">
      <formula>"OB"</formula>
    </cfRule>
  </conditionalFormatting>
  <conditionalFormatting sqref="J6">
    <cfRule type="cellIs" dxfId="221" priority="4" operator="equal">
      <formula>"OB"</formula>
    </cfRule>
  </conditionalFormatting>
  <conditionalFormatting sqref="J7">
    <cfRule type="cellIs" dxfId="220" priority="15" operator="equal">
      <formula>"OB"</formula>
    </cfRule>
  </conditionalFormatting>
  <conditionalFormatting sqref="J13">
    <cfRule type="cellIs" dxfId="219" priority="13" operator="equal">
      <formula>"OB"</formula>
    </cfRule>
  </conditionalFormatting>
  <conditionalFormatting sqref="J14">
    <cfRule type="cellIs" dxfId="218" priority="3" operator="equal">
      <formula>"OB"</formula>
    </cfRule>
    <cfRule type="cellIs" dxfId="217" priority="18" operator="equal">
      <formula>"OB"</formula>
    </cfRule>
  </conditionalFormatting>
  <conditionalFormatting sqref="J14:J1048576">
    <cfRule type="cellIs" dxfId="216" priority="19" operator="equal">
      <formula>"OB"</formula>
    </cfRule>
  </conditionalFormatting>
  <conditionalFormatting sqref="J17:J18">
    <cfRule type="cellIs" dxfId="215" priority="20" operator="equal">
      <formula>"OB"</formula>
    </cfRule>
  </conditionalFormatting>
  <conditionalFormatting sqref="K6:K8">
    <cfRule type="containsText" dxfId="214" priority="43" operator="containsText" text="SUNDAY">
      <formula>NOT(ISERROR(SEARCH("SUNDAY",K6)))</formula>
    </cfRule>
    <cfRule type="containsText" dxfId="213" priority="44" operator="containsText" text="HOLIDAY">
      <formula>NOT(ISERROR(SEARCH("HOLIDAY",K6)))</formula>
    </cfRule>
  </conditionalFormatting>
  <conditionalFormatting sqref="K9">
    <cfRule type="containsText" dxfId="212" priority="45" operator="containsText" text="SUNDAY">
      <formula>NOT(ISERROR(SEARCH("SUNDAY",K9)))</formula>
    </cfRule>
    <cfRule type="containsText" dxfId="211" priority="46" operator="containsText" text="HOLIDAY">
      <formula>NOT(ISERROR(SEARCH("HOLIDAY",K9)))</formula>
    </cfRule>
  </conditionalFormatting>
  <conditionalFormatting sqref="L5:L9">
    <cfRule type="containsText" dxfId="210" priority="41" operator="containsText" text="SUNDAY">
      <formula>NOT(ISERROR(SEARCH("SUNDAY",L5)))</formula>
    </cfRule>
    <cfRule type="containsText" dxfId="209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41AE-E0B4-435D-B229-1946E969F1F8}">
  <dimension ref="A1:L26"/>
  <sheetViews>
    <sheetView zoomScaleNormal="100" zoomScaleSheetLayoutView="93" workbookViewId="0">
      <selection activeCell="L7" sqref="L7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34"/>
      <c r="B2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62</v>
      </c>
      <c r="B3" s="7" t="s">
        <v>63</v>
      </c>
      <c r="C3" s="2" t="s">
        <v>803</v>
      </c>
      <c r="D3" s="2" t="s">
        <v>804</v>
      </c>
      <c r="E3" s="33">
        <v>46064</v>
      </c>
      <c r="F3" s="27">
        <f>C3-E3</f>
        <v>0.32274305555620231</v>
      </c>
      <c r="G3" s="27"/>
      <c r="H3" s="27"/>
      <c r="I3" s="27">
        <f t="shared" ref="I3:I13" si="0">D3-E3</f>
        <v>0.70910879629809642</v>
      </c>
      <c r="J3" s="8"/>
    </row>
    <row r="4" spans="1:12" x14ac:dyDescent="0.25">
      <c r="A4" s="6" t="s">
        <v>62</v>
      </c>
      <c r="B4" s="7" t="s">
        <v>63</v>
      </c>
      <c r="C4" s="2" t="s">
        <v>805</v>
      </c>
      <c r="D4" s="2" t="s">
        <v>806</v>
      </c>
      <c r="E4" s="33">
        <v>46065</v>
      </c>
      <c r="F4" s="27">
        <f t="shared" ref="F4:F6" si="1">C4-E4</f>
        <v>0.32415509259590181</v>
      </c>
      <c r="G4" s="27"/>
      <c r="H4" s="27"/>
      <c r="I4" s="27">
        <f t="shared" si="0"/>
        <v>0.70930555555241881</v>
      </c>
      <c r="J4" s="8"/>
    </row>
    <row r="5" spans="1:12" x14ac:dyDescent="0.25">
      <c r="A5" s="6" t="s">
        <v>62</v>
      </c>
      <c r="B5" s="7" t="s">
        <v>63</v>
      </c>
      <c r="C5" s="2" t="s">
        <v>807</v>
      </c>
      <c r="D5" s="2" t="s">
        <v>808</v>
      </c>
      <c r="E5" s="33">
        <v>46066</v>
      </c>
      <c r="F5" s="27">
        <f t="shared" si="1"/>
        <v>0.32608796295971842</v>
      </c>
      <c r="G5" s="27"/>
      <c r="H5" s="27"/>
      <c r="I5" s="27">
        <f t="shared" si="0"/>
        <v>0.70921296296000946</v>
      </c>
      <c r="J5" s="8"/>
      <c r="K5" s="3" t="s">
        <v>6</v>
      </c>
      <c r="L5" s="4">
        <v>0</v>
      </c>
    </row>
    <row r="6" spans="1:12" x14ac:dyDescent="0.25">
      <c r="A6" s="6" t="s">
        <v>62</v>
      </c>
      <c r="B6" s="7" t="s">
        <v>63</v>
      </c>
      <c r="C6" s="2" t="s">
        <v>809</v>
      </c>
      <c r="D6" s="2" t="s">
        <v>810</v>
      </c>
      <c r="E6" s="33">
        <v>46067</v>
      </c>
      <c r="F6" s="27">
        <f t="shared" si="1"/>
        <v>0.32878472222364508</v>
      </c>
      <c r="G6" s="27"/>
      <c r="H6" s="27"/>
      <c r="I6" s="27">
        <f t="shared" si="0"/>
        <v>0.70880787036730908</v>
      </c>
      <c r="J6" s="8"/>
      <c r="K6" s="3" t="s">
        <v>7</v>
      </c>
      <c r="L6" s="4">
        <v>1</v>
      </c>
    </row>
    <row r="7" spans="1:12" x14ac:dyDescent="0.25">
      <c r="A7" s="6" t="s">
        <v>62</v>
      </c>
      <c r="B7" s="7" t="s">
        <v>63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1</v>
      </c>
    </row>
    <row r="8" spans="1:12" x14ac:dyDescent="0.25">
      <c r="A8" s="6" t="s">
        <v>62</v>
      </c>
      <c r="B8" s="7" t="s">
        <v>63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62</v>
      </c>
      <c r="B9" s="7" t="s">
        <v>63</v>
      </c>
      <c r="C9" s="2" t="s">
        <v>811</v>
      </c>
      <c r="D9" s="2" t="s">
        <v>812</v>
      </c>
      <c r="E9" s="33">
        <v>46070</v>
      </c>
      <c r="F9" s="27">
        <f t="shared" ref="F9:F13" si="2">C9-E9</f>
        <v>0.32964120370161254</v>
      </c>
      <c r="G9" s="27"/>
      <c r="H9" s="27"/>
      <c r="I9" s="27">
        <f t="shared" si="0"/>
        <v>0.70971064814511919</v>
      </c>
      <c r="J9" s="8"/>
      <c r="K9" s="3" t="s">
        <v>10</v>
      </c>
      <c r="L9" s="4">
        <v>0</v>
      </c>
    </row>
    <row r="10" spans="1:12" x14ac:dyDescent="0.25">
      <c r="A10" s="6" t="s">
        <v>62</v>
      </c>
      <c r="B10" s="7" t="s">
        <v>63</v>
      </c>
      <c r="C10" s="2" t="s">
        <v>813</v>
      </c>
      <c r="D10" s="2" t="s">
        <v>814</v>
      </c>
      <c r="E10" s="33">
        <v>46071</v>
      </c>
      <c r="F10" s="27">
        <f t="shared" si="2"/>
        <v>0.31974537036876427</v>
      </c>
      <c r="G10" s="27"/>
      <c r="H10" s="27"/>
      <c r="I10" s="27">
        <f t="shared" si="0"/>
        <v>0.70950231481401715</v>
      </c>
      <c r="J10" s="8"/>
    </row>
    <row r="11" spans="1:12" x14ac:dyDescent="0.25">
      <c r="A11" s="6" t="s">
        <v>62</v>
      </c>
      <c r="B11" s="7" t="s">
        <v>63</v>
      </c>
      <c r="C11" s="2" t="s">
        <v>815</v>
      </c>
      <c r="D11" s="2" t="s">
        <v>816</v>
      </c>
      <c r="E11" s="33">
        <v>46072</v>
      </c>
      <c r="F11" s="27">
        <f t="shared" si="2"/>
        <v>0.32405092592671281</v>
      </c>
      <c r="G11" s="27"/>
      <c r="H11" s="27"/>
      <c r="I11" s="27">
        <f t="shared" si="0"/>
        <v>0.70891203703649808</v>
      </c>
      <c r="J11" s="8"/>
    </row>
    <row r="12" spans="1:12" x14ac:dyDescent="0.25">
      <c r="A12" s="6" t="s">
        <v>62</v>
      </c>
      <c r="B12" s="7" t="s">
        <v>63</v>
      </c>
      <c r="C12" s="2" t="s">
        <v>817</v>
      </c>
      <c r="D12" s="2"/>
      <c r="E12" s="33">
        <v>46073</v>
      </c>
      <c r="F12" s="48">
        <f t="shared" si="2"/>
        <v>0.33431712962919846</v>
      </c>
      <c r="G12" s="27"/>
      <c r="H12" s="27"/>
      <c r="I12" s="27">
        <v>0.70902777777777781</v>
      </c>
      <c r="J12" s="8"/>
    </row>
    <row r="13" spans="1:12" x14ac:dyDescent="0.25">
      <c r="A13" s="6" t="s">
        <v>62</v>
      </c>
      <c r="B13" s="7" t="s">
        <v>63</v>
      </c>
      <c r="C13" s="2" t="s">
        <v>818</v>
      </c>
      <c r="D13" s="2" t="s">
        <v>819</v>
      </c>
      <c r="E13" s="33">
        <v>46074</v>
      </c>
      <c r="F13" s="27">
        <f t="shared" si="2"/>
        <v>0.32206018518627388</v>
      </c>
      <c r="G13" s="27"/>
      <c r="H13" s="27"/>
      <c r="I13" s="27">
        <f t="shared" si="0"/>
        <v>0.7097685185217415</v>
      </c>
      <c r="J13" s="8"/>
    </row>
    <row r="14" spans="1:12" x14ac:dyDescent="0.25">
      <c r="A14" s="6" t="s">
        <v>62</v>
      </c>
      <c r="B14" s="7" t="s">
        <v>63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62</v>
      </c>
      <c r="B15" s="7" t="s">
        <v>63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62</v>
      </c>
      <c r="B16" s="7" t="s">
        <v>63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62</v>
      </c>
      <c r="B17" s="7" t="s">
        <v>63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62</v>
      </c>
      <c r="B18" s="7" t="s">
        <v>63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conditionalFormatting sqref="C1:E1048576 K1:L1048576">
    <cfRule type="cellIs" dxfId="208" priority="25" operator="equal">
      <formula>"UNDERTIME"</formula>
    </cfRule>
  </conditionalFormatting>
  <conditionalFormatting sqref="F3:H18">
    <cfRule type="cellIs" dxfId="207" priority="1" operator="equal">
      <formula>"UNDERTIME"</formula>
    </cfRule>
  </conditionalFormatting>
  <conditionalFormatting sqref="F1:J2 F19:J1048576">
    <cfRule type="cellIs" dxfId="206" priority="16" operator="equal">
      <formula>"UNDERTIME"</formula>
    </cfRule>
  </conditionalFormatting>
  <conditionalFormatting sqref="J1:J2 J14:J1048576">
    <cfRule type="cellIs" dxfId="205" priority="17" operator="equal">
      <formula>"UNDERTIME"</formula>
    </cfRule>
  </conditionalFormatting>
  <conditionalFormatting sqref="J1:J14">
    <cfRule type="cellIs" dxfId="204" priority="7" operator="equal">
      <formula>"OB"</formula>
    </cfRule>
  </conditionalFormatting>
  <conditionalFormatting sqref="J1:J1048576">
    <cfRule type="cellIs" dxfId="203" priority="6" operator="equal">
      <formula>"HOLIDAY"</formula>
    </cfRule>
    <cfRule type="cellIs" dxfId="202" priority="8" operator="equal">
      <formula>"RESTDAY"</formula>
    </cfRule>
    <cfRule type="cellIs" dxfId="201" priority="9" operator="equal">
      <formula>"HALF DAY"</formula>
    </cfRule>
    <cfRule type="cellIs" dxfId="200" priority="10" operator="equal">
      <formula>"ABSENT"</formula>
    </cfRule>
    <cfRule type="cellIs" dxfId="199" priority="12" operator="equal">
      <formula>"ABSENT"</formula>
    </cfRule>
  </conditionalFormatting>
  <conditionalFormatting sqref="J3:J14">
    <cfRule type="cellIs" dxfId="198" priority="11" operator="equal">
      <formula>"UNDERTIME"</formula>
    </cfRule>
  </conditionalFormatting>
  <conditionalFormatting sqref="J3:J18">
    <cfRule type="cellIs" dxfId="197" priority="5" operator="equal">
      <formula>"UNDERTIME"</formula>
    </cfRule>
  </conditionalFormatting>
  <conditionalFormatting sqref="J5:J1048576">
    <cfRule type="cellIs" dxfId="196" priority="14" operator="equal">
      <formula>"OB"</formula>
    </cfRule>
  </conditionalFormatting>
  <conditionalFormatting sqref="J6">
    <cfRule type="cellIs" dxfId="195" priority="4" operator="equal">
      <formula>"OB"</formula>
    </cfRule>
  </conditionalFormatting>
  <conditionalFormatting sqref="J7">
    <cfRule type="cellIs" dxfId="194" priority="15" operator="equal">
      <formula>"OB"</formula>
    </cfRule>
  </conditionalFormatting>
  <conditionalFormatting sqref="J13">
    <cfRule type="cellIs" dxfId="193" priority="13" operator="equal">
      <formula>"OB"</formula>
    </cfRule>
  </conditionalFormatting>
  <conditionalFormatting sqref="J14">
    <cfRule type="cellIs" dxfId="192" priority="3" operator="equal">
      <formula>"OB"</formula>
    </cfRule>
    <cfRule type="cellIs" dxfId="191" priority="18" operator="equal">
      <formula>"OB"</formula>
    </cfRule>
  </conditionalFormatting>
  <conditionalFormatting sqref="J14:J1048576">
    <cfRule type="cellIs" dxfId="190" priority="19" operator="equal">
      <formula>"OB"</formula>
    </cfRule>
  </conditionalFormatting>
  <conditionalFormatting sqref="J17:J18">
    <cfRule type="cellIs" dxfId="189" priority="20" operator="equal">
      <formula>"OB"</formula>
    </cfRule>
  </conditionalFormatting>
  <conditionalFormatting sqref="K6:K8">
    <cfRule type="containsText" dxfId="188" priority="43" operator="containsText" text="SUNDAY">
      <formula>NOT(ISERROR(SEARCH("SUNDAY",K6)))</formula>
    </cfRule>
    <cfRule type="containsText" dxfId="187" priority="44" operator="containsText" text="HOLIDAY">
      <formula>NOT(ISERROR(SEARCH("HOLIDAY",K6)))</formula>
    </cfRule>
  </conditionalFormatting>
  <conditionalFormatting sqref="K9">
    <cfRule type="containsText" dxfId="186" priority="45" operator="containsText" text="SUNDAY">
      <formula>NOT(ISERROR(SEARCH("SUNDAY",K9)))</formula>
    </cfRule>
    <cfRule type="containsText" dxfId="185" priority="46" operator="containsText" text="HOLIDAY">
      <formula>NOT(ISERROR(SEARCH("HOLIDAY",K9)))</formula>
    </cfRule>
  </conditionalFormatting>
  <conditionalFormatting sqref="L5:L9">
    <cfRule type="containsText" dxfId="184" priority="41" operator="containsText" text="SUNDAY">
      <formula>NOT(ISERROR(SEARCH("SUNDAY",L5)))</formula>
    </cfRule>
    <cfRule type="containsText" dxfId="183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11DD-6E89-48D8-AD61-822F652269BB}">
  <dimension ref="A1:L26"/>
  <sheetViews>
    <sheetView zoomScaleNormal="100" zoomScaleSheetLayoutView="93" workbookViewId="0">
      <selection activeCell="G4" sqref="G4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24"/>
      <c r="B2" s="25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64</v>
      </c>
      <c r="B3" s="7" t="s">
        <v>65</v>
      </c>
      <c r="C3" s="2" t="s">
        <v>820</v>
      </c>
      <c r="D3" s="2" t="s">
        <v>821</v>
      </c>
      <c r="E3" s="33">
        <v>46064</v>
      </c>
      <c r="F3" s="27">
        <f>C3-E3</f>
        <v>0.32357638888788642</v>
      </c>
      <c r="G3" s="27"/>
      <c r="H3" s="27"/>
      <c r="I3" s="27">
        <f t="shared" ref="I3:I13" si="0">D3-E3</f>
        <v>0.70939814814482816</v>
      </c>
      <c r="J3" s="8"/>
    </row>
    <row r="4" spans="1:12" x14ac:dyDescent="0.25">
      <c r="A4" s="6" t="s">
        <v>64</v>
      </c>
      <c r="B4" s="7" t="s">
        <v>65</v>
      </c>
      <c r="C4" s="2"/>
      <c r="D4" s="2" t="s">
        <v>822</v>
      </c>
      <c r="E4" s="33">
        <v>46065</v>
      </c>
      <c r="F4" s="27">
        <v>0.3263888888888889</v>
      </c>
      <c r="G4" s="27"/>
      <c r="H4" s="27"/>
      <c r="I4" s="27">
        <f t="shared" si="0"/>
        <v>0.70934027777548181</v>
      </c>
      <c r="J4" s="8"/>
    </row>
    <row r="5" spans="1:12" x14ac:dyDescent="0.25">
      <c r="A5" s="6" t="s">
        <v>64</v>
      </c>
      <c r="B5" s="7" t="s">
        <v>65</v>
      </c>
      <c r="C5" s="2" t="s">
        <v>823</v>
      </c>
      <c r="D5" s="2" t="s">
        <v>824</v>
      </c>
      <c r="E5" s="33">
        <v>46066</v>
      </c>
      <c r="F5" s="27">
        <f t="shared" ref="F5:F6" si="1">C5-E5</f>
        <v>0.32262731481750961</v>
      </c>
      <c r="G5" s="27"/>
      <c r="H5" s="27"/>
      <c r="I5" s="27">
        <f t="shared" si="0"/>
        <v>0.70885416666715173</v>
      </c>
      <c r="J5" s="8"/>
      <c r="K5" s="3" t="s">
        <v>6</v>
      </c>
      <c r="L5" s="4">
        <v>0</v>
      </c>
    </row>
    <row r="6" spans="1:12" x14ac:dyDescent="0.25">
      <c r="A6" s="6" t="s">
        <v>64</v>
      </c>
      <c r="B6" s="7" t="s">
        <v>65</v>
      </c>
      <c r="C6" s="2" t="s">
        <v>825</v>
      </c>
      <c r="D6" s="2" t="s">
        <v>826</v>
      </c>
      <c r="E6" s="33">
        <v>46067</v>
      </c>
      <c r="F6" s="27">
        <f t="shared" si="1"/>
        <v>0.32613425925956108</v>
      </c>
      <c r="G6" s="27"/>
      <c r="H6" s="27"/>
      <c r="I6" s="27">
        <f t="shared" si="0"/>
        <v>0.70960648148320615</v>
      </c>
      <c r="J6" s="8"/>
      <c r="K6" s="3" t="s">
        <v>7</v>
      </c>
      <c r="L6" s="4">
        <v>0</v>
      </c>
    </row>
    <row r="7" spans="1:12" x14ac:dyDescent="0.25">
      <c r="A7" s="6" t="s">
        <v>64</v>
      </c>
      <c r="B7" s="7" t="s">
        <v>65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64</v>
      </c>
      <c r="B8" s="7" t="s">
        <v>65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64</v>
      </c>
      <c r="B9" s="7" t="s">
        <v>65</v>
      </c>
      <c r="C9" s="2" t="s">
        <v>827</v>
      </c>
      <c r="D9" s="2" t="s">
        <v>828</v>
      </c>
      <c r="E9" s="33">
        <v>46070</v>
      </c>
      <c r="F9" s="27">
        <f t="shared" ref="F9:F13" si="2">C9-E9</f>
        <v>0.31793981481314404</v>
      </c>
      <c r="G9" s="27"/>
      <c r="H9" s="27"/>
      <c r="I9" s="27">
        <f t="shared" si="0"/>
        <v>0.70942129629838746</v>
      </c>
      <c r="J9" s="8"/>
      <c r="K9" s="3" t="s">
        <v>10</v>
      </c>
      <c r="L9" s="4">
        <v>0</v>
      </c>
    </row>
    <row r="10" spans="1:12" x14ac:dyDescent="0.25">
      <c r="A10" s="6" t="s">
        <v>64</v>
      </c>
      <c r="B10" s="7" t="s">
        <v>65</v>
      </c>
      <c r="C10" s="2" t="s">
        <v>829</v>
      </c>
      <c r="D10" s="2" t="s">
        <v>830</v>
      </c>
      <c r="E10" s="33">
        <v>46071</v>
      </c>
      <c r="F10" s="27">
        <f t="shared" si="2"/>
        <v>0.3242708333345945</v>
      </c>
      <c r="G10" s="27"/>
      <c r="H10" s="27"/>
      <c r="I10" s="27">
        <f t="shared" si="0"/>
        <v>0.70914351852115942</v>
      </c>
      <c r="J10" s="8"/>
    </row>
    <row r="11" spans="1:12" x14ac:dyDescent="0.25">
      <c r="A11" s="6" t="s">
        <v>64</v>
      </c>
      <c r="B11" s="7" t="s">
        <v>65</v>
      </c>
      <c r="C11" s="2" t="s">
        <v>831</v>
      </c>
      <c r="D11" s="2" t="s">
        <v>832</v>
      </c>
      <c r="E11" s="33">
        <v>46072</v>
      </c>
      <c r="F11" s="27">
        <f t="shared" si="2"/>
        <v>0.31857638889050577</v>
      </c>
      <c r="G11" s="27"/>
      <c r="H11" s="27"/>
      <c r="I11" s="27">
        <f t="shared" si="0"/>
        <v>0.70878472222102573</v>
      </c>
      <c r="J11" s="8"/>
    </row>
    <row r="12" spans="1:12" x14ac:dyDescent="0.25">
      <c r="A12" s="6" t="s">
        <v>64</v>
      </c>
      <c r="B12" s="7" t="s">
        <v>65</v>
      </c>
      <c r="C12" s="2" t="s">
        <v>833</v>
      </c>
      <c r="D12" s="2" t="s">
        <v>834</v>
      </c>
      <c r="E12" s="33">
        <v>46073</v>
      </c>
      <c r="F12" s="27">
        <f t="shared" si="2"/>
        <v>0.32597222222102573</v>
      </c>
      <c r="G12" s="27"/>
      <c r="H12" s="27"/>
      <c r="I12" s="27">
        <f t="shared" si="0"/>
        <v>0.70858796295942739</v>
      </c>
      <c r="J12" s="8"/>
    </row>
    <row r="13" spans="1:12" x14ac:dyDescent="0.25">
      <c r="A13" s="6" t="s">
        <v>64</v>
      </c>
      <c r="B13" s="7" t="s">
        <v>65</v>
      </c>
      <c r="C13" s="2" t="s">
        <v>835</v>
      </c>
      <c r="D13" s="2" t="s">
        <v>836</v>
      </c>
      <c r="E13" s="33">
        <v>46074</v>
      </c>
      <c r="F13" s="27">
        <f t="shared" si="2"/>
        <v>0.31827546295971842</v>
      </c>
      <c r="G13" s="27"/>
      <c r="H13" s="27"/>
      <c r="I13" s="27">
        <f t="shared" si="0"/>
        <v>0.71006944444525288</v>
      </c>
      <c r="J13" s="8"/>
    </row>
    <row r="14" spans="1:12" x14ac:dyDescent="0.25">
      <c r="A14" s="6" t="s">
        <v>64</v>
      </c>
      <c r="B14" s="7" t="s">
        <v>65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64</v>
      </c>
      <c r="B15" s="7" t="s">
        <v>65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64</v>
      </c>
      <c r="B16" s="7" t="s">
        <v>65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64</v>
      </c>
      <c r="B17" s="7" t="s">
        <v>65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64</v>
      </c>
      <c r="B18" s="7" t="s">
        <v>65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phoneticPr fontId="2" type="noConversion"/>
  <conditionalFormatting sqref="C1:E1048576 K1:L1048576">
    <cfRule type="cellIs" dxfId="182" priority="25" operator="equal">
      <formula>"UNDERTIME"</formula>
    </cfRule>
  </conditionalFormatting>
  <conditionalFormatting sqref="F3:H18">
    <cfRule type="cellIs" dxfId="181" priority="1" operator="equal">
      <formula>"UNDERTIME"</formula>
    </cfRule>
  </conditionalFormatting>
  <conditionalFormatting sqref="F1:J2 F19:J1048576">
    <cfRule type="cellIs" dxfId="180" priority="16" operator="equal">
      <formula>"UNDERTIME"</formula>
    </cfRule>
  </conditionalFormatting>
  <conditionalFormatting sqref="J1:J2 J14:J1048576">
    <cfRule type="cellIs" dxfId="179" priority="17" operator="equal">
      <formula>"UNDERTIME"</formula>
    </cfRule>
  </conditionalFormatting>
  <conditionalFormatting sqref="J1:J14">
    <cfRule type="cellIs" dxfId="178" priority="7" operator="equal">
      <formula>"OB"</formula>
    </cfRule>
  </conditionalFormatting>
  <conditionalFormatting sqref="J1:J1048576">
    <cfRule type="cellIs" dxfId="177" priority="6" operator="equal">
      <formula>"HOLIDAY"</formula>
    </cfRule>
    <cfRule type="cellIs" dxfId="176" priority="8" operator="equal">
      <formula>"RESTDAY"</formula>
    </cfRule>
    <cfRule type="cellIs" dxfId="175" priority="9" operator="equal">
      <formula>"HALF DAY"</formula>
    </cfRule>
    <cfRule type="cellIs" dxfId="174" priority="10" operator="equal">
      <formula>"ABSENT"</formula>
    </cfRule>
    <cfRule type="cellIs" dxfId="173" priority="12" operator="equal">
      <formula>"ABSENT"</formula>
    </cfRule>
  </conditionalFormatting>
  <conditionalFormatting sqref="J3:J14">
    <cfRule type="cellIs" dxfId="172" priority="11" operator="equal">
      <formula>"UNDERTIME"</formula>
    </cfRule>
  </conditionalFormatting>
  <conditionalFormatting sqref="J3:J18">
    <cfRule type="cellIs" dxfId="171" priority="5" operator="equal">
      <formula>"UNDERTIME"</formula>
    </cfRule>
  </conditionalFormatting>
  <conditionalFormatting sqref="J5:J1048576">
    <cfRule type="cellIs" dxfId="170" priority="14" operator="equal">
      <formula>"OB"</formula>
    </cfRule>
  </conditionalFormatting>
  <conditionalFormatting sqref="J6">
    <cfRule type="cellIs" dxfId="169" priority="4" operator="equal">
      <formula>"OB"</formula>
    </cfRule>
  </conditionalFormatting>
  <conditionalFormatting sqref="J7">
    <cfRule type="cellIs" dxfId="168" priority="15" operator="equal">
      <formula>"OB"</formula>
    </cfRule>
  </conditionalFormatting>
  <conditionalFormatting sqref="J13">
    <cfRule type="cellIs" dxfId="167" priority="13" operator="equal">
      <formula>"OB"</formula>
    </cfRule>
  </conditionalFormatting>
  <conditionalFormatting sqref="J14">
    <cfRule type="cellIs" dxfId="166" priority="3" operator="equal">
      <formula>"OB"</formula>
    </cfRule>
    <cfRule type="cellIs" dxfId="165" priority="18" operator="equal">
      <formula>"OB"</formula>
    </cfRule>
  </conditionalFormatting>
  <conditionalFormatting sqref="J14:J1048576">
    <cfRule type="cellIs" dxfId="164" priority="19" operator="equal">
      <formula>"OB"</formula>
    </cfRule>
  </conditionalFormatting>
  <conditionalFormatting sqref="J17:J18">
    <cfRule type="cellIs" dxfId="163" priority="20" operator="equal">
      <formula>"OB"</formula>
    </cfRule>
  </conditionalFormatting>
  <conditionalFormatting sqref="K6:K8">
    <cfRule type="containsText" dxfId="162" priority="43" operator="containsText" text="SUNDAY">
      <formula>NOT(ISERROR(SEARCH("SUNDAY",K6)))</formula>
    </cfRule>
    <cfRule type="containsText" dxfId="161" priority="44" operator="containsText" text="HOLIDAY">
      <formula>NOT(ISERROR(SEARCH("HOLIDAY",K6)))</formula>
    </cfRule>
  </conditionalFormatting>
  <conditionalFormatting sqref="K9">
    <cfRule type="containsText" dxfId="160" priority="45" operator="containsText" text="SUNDAY">
      <formula>NOT(ISERROR(SEARCH("SUNDAY",K9)))</formula>
    </cfRule>
    <cfRule type="containsText" dxfId="159" priority="46" operator="containsText" text="HOLIDAY">
      <formula>NOT(ISERROR(SEARCH("HOLIDAY",K9)))</formula>
    </cfRule>
  </conditionalFormatting>
  <conditionalFormatting sqref="L5:L9">
    <cfRule type="containsText" dxfId="158" priority="41" operator="containsText" text="SUNDAY">
      <formula>NOT(ISERROR(SEARCH("SUNDAY",L5)))</formula>
    </cfRule>
    <cfRule type="containsText" dxfId="157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A9AE0-D8B3-445F-A243-BB6783585897}">
  <dimension ref="A1:L26"/>
  <sheetViews>
    <sheetView zoomScaleNormal="100" zoomScaleSheetLayoutView="93" workbookViewId="0">
      <selection activeCell="L6" sqref="L6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34"/>
      <c r="B2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90</v>
      </c>
      <c r="B3" s="7" t="s">
        <v>89</v>
      </c>
      <c r="C3" s="2" t="s">
        <v>837</v>
      </c>
      <c r="D3" s="2" t="s">
        <v>838</v>
      </c>
      <c r="E3" s="33">
        <v>46064</v>
      </c>
      <c r="F3" s="27">
        <f>C3-E3</f>
        <v>0.3215509259243845</v>
      </c>
      <c r="G3" s="27"/>
      <c r="H3" s="27"/>
      <c r="I3" s="27">
        <f t="shared" ref="I3:I10" si="0">D3-E3</f>
        <v>0.70871527777489973</v>
      </c>
      <c r="J3" s="8"/>
    </row>
    <row r="4" spans="1:12" x14ac:dyDescent="0.25">
      <c r="A4" s="6" t="s">
        <v>90</v>
      </c>
      <c r="B4" s="7" t="s">
        <v>89</v>
      </c>
      <c r="C4" s="2" t="s">
        <v>839</v>
      </c>
      <c r="D4" s="2" t="s">
        <v>840</v>
      </c>
      <c r="E4" s="33">
        <v>46065</v>
      </c>
      <c r="F4" s="27">
        <f t="shared" ref="F4:F6" si="1">C4-E4</f>
        <v>0.32837962963094469</v>
      </c>
      <c r="G4" s="27"/>
      <c r="H4" s="27"/>
      <c r="I4" s="27">
        <f t="shared" si="0"/>
        <v>0.70887731481343508</v>
      </c>
      <c r="J4" s="8"/>
    </row>
    <row r="5" spans="1:12" x14ac:dyDescent="0.25">
      <c r="A5" s="6" t="s">
        <v>90</v>
      </c>
      <c r="B5" s="7" t="s">
        <v>89</v>
      </c>
      <c r="C5" s="2" t="s">
        <v>841</v>
      </c>
      <c r="D5" s="2" t="s">
        <v>842</v>
      </c>
      <c r="E5" s="33">
        <v>46066</v>
      </c>
      <c r="F5" s="27">
        <f t="shared" si="1"/>
        <v>0.33057870370248565</v>
      </c>
      <c r="G5" s="27"/>
      <c r="H5" s="27"/>
      <c r="I5" s="27">
        <f t="shared" si="0"/>
        <v>0.70864583333604969</v>
      </c>
      <c r="J5" s="8"/>
      <c r="K5" s="3" t="s">
        <v>6</v>
      </c>
      <c r="L5" s="4">
        <v>0</v>
      </c>
    </row>
    <row r="6" spans="1:12" x14ac:dyDescent="0.25">
      <c r="A6" s="6" t="s">
        <v>90</v>
      </c>
      <c r="B6" s="7" t="s">
        <v>89</v>
      </c>
      <c r="C6" s="2" t="s">
        <v>843</v>
      </c>
      <c r="D6" s="2" t="s">
        <v>844</v>
      </c>
      <c r="E6" s="33">
        <v>46067</v>
      </c>
      <c r="F6" s="27">
        <f t="shared" si="1"/>
        <v>0.32467592592729488</v>
      </c>
      <c r="G6" s="27"/>
      <c r="H6" s="27"/>
      <c r="I6" s="27">
        <f t="shared" si="0"/>
        <v>0.70856481481314404</v>
      </c>
      <c r="J6" s="8"/>
      <c r="K6" s="3" t="s">
        <v>7</v>
      </c>
      <c r="L6" s="4">
        <v>1</v>
      </c>
    </row>
    <row r="7" spans="1:12" x14ac:dyDescent="0.25">
      <c r="A7" s="6" t="s">
        <v>90</v>
      </c>
      <c r="B7" s="7" t="s">
        <v>89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90</v>
      </c>
      <c r="B8" s="7" t="s">
        <v>89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90</v>
      </c>
      <c r="B9" s="7" t="s">
        <v>89</v>
      </c>
      <c r="C9" s="28"/>
      <c r="D9" s="2" t="s">
        <v>845</v>
      </c>
      <c r="E9" s="33">
        <v>46070</v>
      </c>
      <c r="F9" s="27">
        <v>0.32777777777777778</v>
      </c>
      <c r="G9" s="27"/>
      <c r="H9" s="27"/>
      <c r="I9" s="27">
        <f t="shared" si="0"/>
        <v>0.70900462962890742</v>
      </c>
      <c r="J9" s="8"/>
      <c r="K9" s="3" t="s">
        <v>10</v>
      </c>
      <c r="L9" s="4">
        <v>0</v>
      </c>
    </row>
    <row r="10" spans="1:12" x14ac:dyDescent="0.25">
      <c r="A10" s="6" t="s">
        <v>90</v>
      </c>
      <c r="B10" s="7" t="s">
        <v>89</v>
      </c>
      <c r="C10" s="2" t="s">
        <v>846</v>
      </c>
      <c r="D10" s="2" t="s">
        <v>847</v>
      </c>
      <c r="E10" s="33">
        <v>46071</v>
      </c>
      <c r="F10" s="27">
        <f t="shared" ref="F10" si="2">C10-E10</f>
        <v>0.33108796296437504</v>
      </c>
      <c r="G10" s="27"/>
      <c r="H10" s="27"/>
      <c r="I10" s="27">
        <f t="shared" si="0"/>
        <v>0.70894675925956108</v>
      </c>
      <c r="J10" s="8"/>
    </row>
    <row r="11" spans="1:12" x14ac:dyDescent="0.25">
      <c r="A11" s="6" t="s">
        <v>90</v>
      </c>
      <c r="B11" s="7" t="s">
        <v>89</v>
      </c>
      <c r="C11" s="2"/>
      <c r="D11" s="2"/>
      <c r="E11" s="33">
        <v>46072</v>
      </c>
      <c r="F11" s="27"/>
      <c r="G11" s="27"/>
      <c r="H11" s="27"/>
      <c r="I11" s="27"/>
      <c r="J11" s="8" t="s">
        <v>482</v>
      </c>
    </row>
    <row r="12" spans="1:12" x14ac:dyDescent="0.25">
      <c r="A12" s="6" t="s">
        <v>90</v>
      </c>
      <c r="B12" s="7" t="s">
        <v>89</v>
      </c>
      <c r="C12" s="2"/>
      <c r="D12" s="2"/>
      <c r="E12" s="33">
        <v>46073</v>
      </c>
      <c r="F12" s="27"/>
      <c r="G12" s="27"/>
      <c r="H12" s="27"/>
      <c r="I12" s="27"/>
      <c r="J12" s="8" t="s">
        <v>482</v>
      </c>
    </row>
    <row r="13" spans="1:12" x14ac:dyDescent="0.25">
      <c r="A13" s="6" t="s">
        <v>90</v>
      </c>
      <c r="B13" s="7" t="s">
        <v>89</v>
      </c>
      <c r="C13" s="2"/>
      <c r="D13" s="2"/>
      <c r="E13" s="33">
        <v>46074</v>
      </c>
      <c r="F13" s="27"/>
      <c r="G13" s="27"/>
      <c r="H13" s="27"/>
      <c r="I13" s="27"/>
      <c r="J13" s="8" t="s">
        <v>482</v>
      </c>
    </row>
    <row r="14" spans="1:12" x14ac:dyDescent="0.25">
      <c r="A14" s="6" t="s">
        <v>90</v>
      </c>
      <c r="B14" s="7" t="s">
        <v>89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90</v>
      </c>
      <c r="B15" s="7" t="s">
        <v>89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90</v>
      </c>
      <c r="B16" s="7" t="s">
        <v>89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90</v>
      </c>
      <c r="B17" s="7" t="s">
        <v>89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90</v>
      </c>
      <c r="B18" s="7" t="s">
        <v>89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phoneticPr fontId="2" type="noConversion"/>
  <conditionalFormatting sqref="C1:E1048576 K1:L1048576">
    <cfRule type="cellIs" dxfId="156" priority="25" operator="equal">
      <formula>"UNDERTIME"</formula>
    </cfRule>
  </conditionalFormatting>
  <conditionalFormatting sqref="F3:H18">
    <cfRule type="cellIs" dxfId="155" priority="1" operator="equal">
      <formula>"UNDERTIME"</formula>
    </cfRule>
  </conditionalFormatting>
  <conditionalFormatting sqref="F1:J2 F19:J1048576">
    <cfRule type="cellIs" dxfId="154" priority="16" operator="equal">
      <formula>"UNDERTIME"</formula>
    </cfRule>
  </conditionalFormatting>
  <conditionalFormatting sqref="J1:J2 J14:J1048576">
    <cfRule type="cellIs" dxfId="153" priority="17" operator="equal">
      <formula>"UNDERTIME"</formula>
    </cfRule>
  </conditionalFormatting>
  <conditionalFormatting sqref="J1:J14">
    <cfRule type="cellIs" dxfId="152" priority="7" operator="equal">
      <formula>"OB"</formula>
    </cfRule>
  </conditionalFormatting>
  <conditionalFormatting sqref="J1:J1048576">
    <cfRule type="cellIs" dxfId="151" priority="6" operator="equal">
      <formula>"HOLIDAY"</formula>
    </cfRule>
    <cfRule type="cellIs" dxfId="150" priority="8" operator="equal">
      <formula>"RESTDAY"</formula>
    </cfRule>
    <cfRule type="cellIs" dxfId="149" priority="9" operator="equal">
      <formula>"HALF DAY"</formula>
    </cfRule>
    <cfRule type="cellIs" dxfId="148" priority="10" operator="equal">
      <formula>"ABSENT"</formula>
    </cfRule>
    <cfRule type="cellIs" dxfId="147" priority="12" operator="equal">
      <formula>"ABSENT"</formula>
    </cfRule>
  </conditionalFormatting>
  <conditionalFormatting sqref="J3:J14">
    <cfRule type="cellIs" dxfId="146" priority="11" operator="equal">
      <formula>"UNDERTIME"</formula>
    </cfRule>
  </conditionalFormatting>
  <conditionalFormatting sqref="J3:J18">
    <cfRule type="cellIs" dxfId="145" priority="5" operator="equal">
      <formula>"UNDERTIME"</formula>
    </cfRule>
  </conditionalFormatting>
  <conditionalFormatting sqref="J5:J1048576">
    <cfRule type="cellIs" dxfId="144" priority="14" operator="equal">
      <formula>"OB"</formula>
    </cfRule>
  </conditionalFormatting>
  <conditionalFormatting sqref="J6">
    <cfRule type="cellIs" dxfId="143" priority="4" operator="equal">
      <formula>"OB"</formula>
    </cfRule>
  </conditionalFormatting>
  <conditionalFormatting sqref="J7">
    <cfRule type="cellIs" dxfId="142" priority="15" operator="equal">
      <formula>"OB"</formula>
    </cfRule>
  </conditionalFormatting>
  <conditionalFormatting sqref="J13">
    <cfRule type="cellIs" dxfId="141" priority="13" operator="equal">
      <formula>"OB"</formula>
    </cfRule>
  </conditionalFormatting>
  <conditionalFormatting sqref="J14">
    <cfRule type="cellIs" dxfId="140" priority="3" operator="equal">
      <formula>"OB"</formula>
    </cfRule>
    <cfRule type="cellIs" dxfId="139" priority="18" operator="equal">
      <formula>"OB"</formula>
    </cfRule>
  </conditionalFormatting>
  <conditionalFormatting sqref="J14:J1048576">
    <cfRule type="cellIs" dxfId="138" priority="19" operator="equal">
      <formula>"OB"</formula>
    </cfRule>
  </conditionalFormatting>
  <conditionalFormatting sqref="J17:J18">
    <cfRule type="cellIs" dxfId="137" priority="20" operator="equal">
      <formula>"OB"</formula>
    </cfRule>
  </conditionalFormatting>
  <conditionalFormatting sqref="K6:K8">
    <cfRule type="containsText" dxfId="136" priority="43" operator="containsText" text="SUNDAY">
      <formula>NOT(ISERROR(SEARCH("SUNDAY",K6)))</formula>
    </cfRule>
    <cfRule type="containsText" dxfId="135" priority="44" operator="containsText" text="HOLIDAY">
      <formula>NOT(ISERROR(SEARCH("HOLIDAY",K6)))</formula>
    </cfRule>
  </conditionalFormatting>
  <conditionalFormatting sqref="K9">
    <cfRule type="containsText" dxfId="134" priority="45" operator="containsText" text="SUNDAY">
      <formula>NOT(ISERROR(SEARCH("SUNDAY",K9)))</formula>
    </cfRule>
    <cfRule type="containsText" dxfId="133" priority="46" operator="containsText" text="HOLIDAY">
      <formula>NOT(ISERROR(SEARCH("HOLIDAY",K9)))</formula>
    </cfRule>
  </conditionalFormatting>
  <conditionalFormatting sqref="L5:L9">
    <cfRule type="containsText" dxfId="132" priority="41" operator="containsText" text="SUNDAY">
      <formula>NOT(ISERROR(SEARCH("SUNDAY",L5)))</formula>
    </cfRule>
    <cfRule type="containsText" dxfId="131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C403-8EF2-4BE1-9B12-4AE5FB798BE7}">
  <dimension ref="A1:L26"/>
  <sheetViews>
    <sheetView zoomScaleNormal="100" zoomScaleSheetLayoutView="93" workbookViewId="0">
      <selection activeCell="L7" sqref="L7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ht="15.75" thickBot="1" x14ac:dyDescent="0.3">
      <c r="A1" s="43" t="s">
        <v>1</v>
      </c>
      <c r="B1" s="44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45"/>
      <c r="B2" s="46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66</v>
      </c>
      <c r="B3" s="7" t="s">
        <v>67</v>
      </c>
      <c r="C3" s="2" t="s">
        <v>848</v>
      </c>
      <c r="D3" s="2" t="s">
        <v>849</v>
      </c>
      <c r="E3" s="33">
        <v>46064</v>
      </c>
      <c r="F3" s="27">
        <f>C3-E3</f>
        <v>0.3032754629603005</v>
      </c>
      <c r="G3" s="27"/>
      <c r="H3" s="27"/>
      <c r="I3" s="27">
        <f t="shared" ref="I3:I13" si="0">D3-E3</f>
        <v>0.7175462962986785</v>
      </c>
      <c r="J3" s="8"/>
    </row>
    <row r="4" spans="1:12" x14ac:dyDescent="0.25">
      <c r="A4" s="6" t="s">
        <v>66</v>
      </c>
      <c r="B4" s="7" t="s">
        <v>67</v>
      </c>
      <c r="C4" s="2" t="s">
        <v>850</v>
      </c>
      <c r="D4" s="2" t="s">
        <v>851</v>
      </c>
      <c r="E4" s="33">
        <v>46065</v>
      </c>
      <c r="F4" s="48">
        <f t="shared" ref="F4:F6" si="1">C4-E4</f>
        <v>0.34664351851824904</v>
      </c>
      <c r="G4" s="27"/>
      <c r="H4" s="27"/>
      <c r="I4" s="27">
        <f t="shared" si="0"/>
        <v>0.7148958333345945</v>
      </c>
      <c r="J4" s="8"/>
    </row>
    <row r="5" spans="1:12" x14ac:dyDescent="0.25">
      <c r="A5" s="6" t="s">
        <v>66</v>
      </c>
      <c r="B5" s="7" t="s">
        <v>67</v>
      </c>
      <c r="C5" s="2" t="s">
        <v>852</v>
      </c>
      <c r="D5" s="2" t="s">
        <v>853</v>
      </c>
      <c r="E5" s="33">
        <v>46066</v>
      </c>
      <c r="F5" s="27">
        <f t="shared" si="1"/>
        <v>0.333460648151231</v>
      </c>
      <c r="G5" s="27"/>
      <c r="H5" s="27"/>
      <c r="I5" s="27">
        <f t="shared" si="0"/>
        <v>0.71296296296350192</v>
      </c>
      <c r="J5" s="8"/>
      <c r="K5" s="3" t="s">
        <v>6</v>
      </c>
      <c r="L5" s="4">
        <v>0</v>
      </c>
    </row>
    <row r="6" spans="1:12" x14ac:dyDescent="0.25">
      <c r="A6" s="6" t="s">
        <v>66</v>
      </c>
      <c r="B6" s="7" t="s">
        <v>67</v>
      </c>
      <c r="C6" s="2" t="s">
        <v>854</v>
      </c>
      <c r="D6" s="2" t="s">
        <v>855</v>
      </c>
      <c r="E6" s="33">
        <v>46067</v>
      </c>
      <c r="F6" s="27">
        <f t="shared" si="1"/>
        <v>0.32728009259153623</v>
      </c>
      <c r="G6" s="27"/>
      <c r="H6" s="27"/>
      <c r="I6" s="27">
        <f t="shared" si="0"/>
        <v>0.70989583332993789</v>
      </c>
      <c r="J6" s="8"/>
      <c r="K6" s="3" t="s">
        <v>7</v>
      </c>
      <c r="L6" s="4">
        <v>1</v>
      </c>
    </row>
    <row r="7" spans="1:12" x14ac:dyDescent="0.25">
      <c r="A7" s="6" t="s">
        <v>66</v>
      </c>
      <c r="B7" s="7" t="s">
        <v>67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19</v>
      </c>
    </row>
    <row r="8" spans="1:12" x14ac:dyDescent="0.25">
      <c r="A8" s="6" t="s">
        <v>66</v>
      </c>
      <c r="B8" s="7" t="s">
        <v>67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66</v>
      </c>
      <c r="B9" s="7" t="s">
        <v>67</v>
      </c>
      <c r="C9" s="2" t="s">
        <v>856</v>
      </c>
      <c r="D9" s="2" t="s">
        <v>857</v>
      </c>
      <c r="E9" s="33">
        <v>46070</v>
      </c>
      <c r="F9" s="27">
        <f t="shared" ref="F9:F13" si="2">C9-E9</f>
        <v>0.32408564814977581</v>
      </c>
      <c r="G9" s="27"/>
      <c r="H9" s="27"/>
      <c r="I9" s="27">
        <f t="shared" si="0"/>
        <v>0.71130787036963739</v>
      </c>
      <c r="J9" s="8"/>
      <c r="K9" s="3" t="s">
        <v>10</v>
      </c>
      <c r="L9" s="4">
        <v>0</v>
      </c>
    </row>
    <row r="10" spans="1:12" x14ac:dyDescent="0.25">
      <c r="A10" s="6" t="s">
        <v>66</v>
      </c>
      <c r="B10" s="7" t="s">
        <v>67</v>
      </c>
      <c r="C10" s="2" t="s">
        <v>858</v>
      </c>
      <c r="D10" s="2" t="s">
        <v>859</v>
      </c>
      <c r="E10" s="33">
        <v>46071</v>
      </c>
      <c r="F10" s="27">
        <f t="shared" si="2"/>
        <v>0.29650462963036261</v>
      </c>
      <c r="G10" s="27"/>
      <c r="H10" s="27"/>
      <c r="I10" s="27">
        <f t="shared" si="0"/>
        <v>0.70997685185284354</v>
      </c>
      <c r="J10" s="8"/>
    </row>
    <row r="11" spans="1:12" x14ac:dyDescent="0.25">
      <c r="A11" s="6" t="s">
        <v>66</v>
      </c>
      <c r="B11" s="7" t="s">
        <v>67</v>
      </c>
      <c r="C11" s="2"/>
      <c r="D11" s="2"/>
      <c r="E11" s="33">
        <v>46072</v>
      </c>
      <c r="F11" s="27"/>
      <c r="G11" s="27"/>
      <c r="H11" s="27"/>
      <c r="I11" s="27"/>
      <c r="J11" s="8" t="s">
        <v>156</v>
      </c>
    </row>
    <row r="12" spans="1:12" x14ac:dyDescent="0.25">
      <c r="A12" s="6" t="s">
        <v>66</v>
      </c>
      <c r="B12" s="7" t="s">
        <v>67</v>
      </c>
      <c r="C12" s="2" t="s">
        <v>860</v>
      </c>
      <c r="D12" s="2" t="s">
        <v>861</v>
      </c>
      <c r="E12" s="33">
        <v>46073</v>
      </c>
      <c r="F12" s="27">
        <f t="shared" si="2"/>
        <v>0.32372685184964212</v>
      </c>
      <c r="G12" s="27"/>
      <c r="H12" s="27"/>
      <c r="I12" s="27">
        <f t="shared" si="0"/>
        <v>0.71056712963036261</v>
      </c>
      <c r="J12" s="8"/>
    </row>
    <row r="13" spans="1:12" x14ac:dyDescent="0.25">
      <c r="A13" s="6" t="s">
        <v>66</v>
      </c>
      <c r="B13" s="7" t="s">
        <v>67</v>
      </c>
      <c r="C13" s="2" t="s">
        <v>862</v>
      </c>
      <c r="D13" s="2" t="s">
        <v>863</v>
      </c>
      <c r="E13" s="33">
        <v>46074</v>
      </c>
      <c r="F13" s="27">
        <f t="shared" si="2"/>
        <v>0.32244212963269092</v>
      </c>
      <c r="G13" s="27"/>
      <c r="H13" s="27"/>
      <c r="I13" s="27">
        <f t="shared" si="0"/>
        <v>0.71886574073869269</v>
      </c>
      <c r="J13" s="8"/>
    </row>
    <row r="14" spans="1:12" x14ac:dyDescent="0.25">
      <c r="A14" s="6" t="s">
        <v>66</v>
      </c>
      <c r="B14" s="7" t="s">
        <v>67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66</v>
      </c>
      <c r="B15" s="7" t="s">
        <v>67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66</v>
      </c>
      <c r="B16" s="7" t="s">
        <v>67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66</v>
      </c>
      <c r="B17" s="7" t="s">
        <v>67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66</v>
      </c>
      <c r="B18" s="7" t="s">
        <v>67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phoneticPr fontId="2" type="noConversion"/>
  <conditionalFormatting sqref="C1:E1048576 K1:L1048576">
    <cfRule type="cellIs" dxfId="130" priority="25" operator="equal">
      <formula>"UNDERTIME"</formula>
    </cfRule>
  </conditionalFormatting>
  <conditionalFormatting sqref="F3:H18">
    <cfRule type="cellIs" dxfId="129" priority="1" operator="equal">
      <formula>"UNDERTIME"</formula>
    </cfRule>
  </conditionalFormatting>
  <conditionalFormatting sqref="F1:J2 F19:J1048576">
    <cfRule type="cellIs" dxfId="128" priority="16" operator="equal">
      <formula>"UNDERTIME"</formula>
    </cfRule>
  </conditionalFormatting>
  <conditionalFormatting sqref="J1:J2 J14:J1048576">
    <cfRule type="cellIs" dxfId="127" priority="17" operator="equal">
      <formula>"UNDERTIME"</formula>
    </cfRule>
  </conditionalFormatting>
  <conditionalFormatting sqref="J1:J14">
    <cfRule type="cellIs" dxfId="126" priority="7" operator="equal">
      <formula>"OB"</formula>
    </cfRule>
  </conditionalFormatting>
  <conditionalFormatting sqref="J1:J1048576">
    <cfRule type="cellIs" dxfId="125" priority="6" operator="equal">
      <formula>"HOLIDAY"</formula>
    </cfRule>
    <cfRule type="cellIs" dxfId="124" priority="8" operator="equal">
      <formula>"RESTDAY"</formula>
    </cfRule>
    <cfRule type="cellIs" dxfId="123" priority="9" operator="equal">
      <formula>"HALF DAY"</formula>
    </cfRule>
    <cfRule type="cellIs" dxfId="122" priority="10" operator="equal">
      <formula>"ABSENT"</formula>
    </cfRule>
    <cfRule type="cellIs" dxfId="121" priority="12" operator="equal">
      <formula>"ABSENT"</formula>
    </cfRule>
  </conditionalFormatting>
  <conditionalFormatting sqref="J3:J14">
    <cfRule type="cellIs" dxfId="120" priority="11" operator="equal">
      <formula>"UNDERTIME"</formula>
    </cfRule>
  </conditionalFormatting>
  <conditionalFormatting sqref="J3:J18">
    <cfRule type="cellIs" dxfId="119" priority="5" operator="equal">
      <formula>"UNDERTIME"</formula>
    </cfRule>
  </conditionalFormatting>
  <conditionalFormatting sqref="J5:J1048576">
    <cfRule type="cellIs" dxfId="118" priority="14" operator="equal">
      <formula>"OB"</formula>
    </cfRule>
  </conditionalFormatting>
  <conditionalFormatting sqref="J6">
    <cfRule type="cellIs" dxfId="117" priority="4" operator="equal">
      <formula>"OB"</formula>
    </cfRule>
  </conditionalFormatting>
  <conditionalFormatting sqref="J7">
    <cfRule type="cellIs" dxfId="116" priority="15" operator="equal">
      <formula>"OB"</formula>
    </cfRule>
  </conditionalFormatting>
  <conditionalFormatting sqref="J13">
    <cfRule type="cellIs" dxfId="115" priority="13" operator="equal">
      <formula>"OB"</formula>
    </cfRule>
  </conditionalFormatting>
  <conditionalFormatting sqref="J14">
    <cfRule type="cellIs" dxfId="114" priority="3" operator="equal">
      <formula>"OB"</formula>
    </cfRule>
    <cfRule type="cellIs" dxfId="113" priority="18" operator="equal">
      <formula>"OB"</formula>
    </cfRule>
  </conditionalFormatting>
  <conditionalFormatting sqref="J14:J1048576">
    <cfRule type="cellIs" dxfId="112" priority="19" operator="equal">
      <formula>"OB"</formula>
    </cfRule>
  </conditionalFormatting>
  <conditionalFormatting sqref="J17:J18">
    <cfRule type="cellIs" dxfId="111" priority="20" operator="equal">
      <formula>"OB"</formula>
    </cfRule>
  </conditionalFormatting>
  <conditionalFormatting sqref="K6:K8">
    <cfRule type="containsText" dxfId="110" priority="43" operator="containsText" text="SUNDAY">
      <formula>NOT(ISERROR(SEARCH("SUNDAY",K6)))</formula>
    </cfRule>
    <cfRule type="containsText" dxfId="109" priority="44" operator="containsText" text="HOLIDAY">
      <formula>NOT(ISERROR(SEARCH("HOLIDAY",K6)))</formula>
    </cfRule>
  </conditionalFormatting>
  <conditionalFormatting sqref="K9">
    <cfRule type="containsText" dxfId="108" priority="45" operator="containsText" text="SUNDAY">
      <formula>NOT(ISERROR(SEARCH("SUNDAY",K9)))</formula>
    </cfRule>
    <cfRule type="containsText" dxfId="107" priority="46" operator="containsText" text="HOLIDAY">
      <formula>NOT(ISERROR(SEARCH("HOLIDAY",K9)))</formula>
    </cfRule>
  </conditionalFormatting>
  <conditionalFormatting sqref="L5:L9">
    <cfRule type="containsText" dxfId="106" priority="41" operator="containsText" text="SUNDAY">
      <formula>NOT(ISERROR(SEARCH("SUNDAY",L5)))</formula>
    </cfRule>
    <cfRule type="containsText" dxfId="105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21EC-6E03-41C5-BF26-946219579864}">
  <dimension ref="A1:L26"/>
  <sheetViews>
    <sheetView zoomScaleNormal="100" zoomScaleSheetLayoutView="93" workbookViewId="0">
      <selection activeCell="L8" sqref="L8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34"/>
      <c r="B2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68</v>
      </c>
      <c r="B3" s="7" t="s">
        <v>69</v>
      </c>
      <c r="C3" s="2" t="s">
        <v>864</v>
      </c>
      <c r="D3" s="2" t="s">
        <v>865</v>
      </c>
      <c r="E3" s="33">
        <v>46064</v>
      </c>
      <c r="F3" s="27">
        <f>C3-E3</f>
        <v>0.31967592592263827</v>
      </c>
      <c r="G3" s="27"/>
      <c r="H3" s="27"/>
      <c r="I3" s="27">
        <f t="shared" ref="I3:I13" si="0">D3-E3</f>
        <v>0.71280092592496658</v>
      </c>
      <c r="J3" s="8"/>
    </row>
    <row r="4" spans="1:12" x14ac:dyDescent="0.25">
      <c r="A4" s="6" t="s">
        <v>68</v>
      </c>
      <c r="B4" s="7" t="s">
        <v>69</v>
      </c>
      <c r="C4" s="2" t="s">
        <v>866</v>
      </c>
      <c r="D4" s="2" t="s">
        <v>867</v>
      </c>
      <c r="E4" s="33">
        <v>46065</v>
      </c>
      <c r="F4" s="27">
        <f t="shared" ref="F4:F6" si="1">C4-E4</f>
        <v>0.31994212963036261</v>
      </c>
      <c r="G4" s="27"/>
      <c r="H4" s="27"/>
      <c r="I4" s="27">
        <f t="shared" si="0"/>
        <v>0.70928240740613546</v>
      </c>
      <c r="J4" s="8"/>
    </row>
    <row r="5" spans="1:12" x14ac:dyDescent="0.25">
      <c r="A5" s="6" t="s">
        <v>68</v>
      </c>
      <c r="B5" s="7" t="s">
        <v>69</v>
      </c>
      <c r="C5" s="2" t="s">
        <v>868</v>
      </c>
      <c r="D5" s="2" t="s">
        <v>869</v>
      </c>
      <c r="E5" s="33">
        <v>46066</v>
      </c>
      <c r="F5" s="27">
        <f t="shared" si="1"/>
        <v>0.31885416666773381</v>
      </c>
      <c r="G5" s="27"/>
      <c r="H5" s="27"/>
      <c r="I5" s="27">
        <f t="shared" si="0"/>
        <v>0.70986111111415084</v>
      </c>
      <c r="J5" s="8"/>
      <c r="K5" s="3" t="s">
        <v>6</v>
      </c>
      <c r="L5" s="4">
        <v>0</v>
      </c>
    </row>
    <row r="6" spans="1:12" x14ac:dyDescent="0.25">
      <c r="A6" s="6" t="s">
        <v>68</v>
      </c>
      <c r="B6" s="7" t="s">
        <v>69</v>
      </c>
      <c r="C6" s="2" t="s">
        <v>870</v>
      </c>
      <c r="D6" s="2" t="s">
        <v>871</v>
      </c>
      <c r="E6" s="33">
        <v>46067</v>
      </c>
      <c r="F6" s="27">
        <f t="shared" si="1"/>
        <v>0.32297453703358769</v>
      </c>
      <c r="G6" s="27"/>
      <c r="H6" s="27"/>
      <c r="I6" s="27">
        <f t="shared" si="0"/>
        <v>0.70951388889079681</v>
      </c>
      <c r="J6" s="8"/>
      <c r="K6" s="3" t="s">
        <v>7</v>
      </c>
      <c r="L6" s="4">
        <v>0.5</v>
      </c>
    </row>
    <row r="7" spans="1:12" x14ac:dyDescent="0.25">
      <c r="A7" s="6" t="s">
        <v>68</v>
      </c>
      <c r="B7" s="7" t="s">
        <v>69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68</v>
      </c>
      <c r="B8" s="7" t="s">
        <v>69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30</v>
      </c>
    </row>
    <row r="9" spans="1:12" x14ac:dyDescent="0.25">
      <c r="A9" s="6" t="s">
        <v>68</v>
      </c>
      <c r="B9" s="7" t="s">
        <v>69</v>
      </c>
      <c r="C9" s="2" t="s">
        <v>872</v>
      </c>
      <c r="D9" s="2" t="s">
        <v>873</v>
      </c>
      <c r="E9" s="33">
        <v>46070</v>
      </c>
      <c r="F9" s="27">
        <f t="shared" ref="F9:F13" si="2">C9-E9</f>
        <v>0.31953703703766223</v>
      </c>
      <c r="G9" s="27"/>
      <c r="H9" s="27"/>
      <c r="I9" s="27">
        <f t="shared" si="0"/>
        <v>0.70909722222131677</v>
      </c>
      <c r="J9" s="8"/>
      <c r="K9" s="3" t="s">
        <v>10</v>
      </c>
      <c r="L9" s="4">
        <v>0</v>
      </c>
    </row>
    <row r="10" spans="1:12" x14ac:dyDescent="0.25">
      <c r="A10" s="6" t="s">
        <v>68</v>
      </c>
      <c r="B10" s="7" t="s">
        <v>69</v>
      </c>
      <c r="C10" s="2" t="s">
        <v>874</v>
      </c>
      <c r="D10" s="2" t="s">
        <v>875</v>
      </c>
      <c r="E10" s="33">
        <v>46071</v>
      </c>
      <c r="F10" s="27">
        <f t="shared" si="2"/>
        <v>0.31934027777606389</v>
      </c>
      <c r="G10" s="27"/>
      <c r="H10" s="27"/>
      <c r="I10" s="27">
        <f t="shared" si="0"/>
        <v>0.70917824074422242</v>
      </c>
      <c r="J10" s="8"/>
    </row>
    <row r="11" spans="1:12" x14ac:dyDescent="0.25">
      <c r="A11" s="6" t="s">
        <v>68</v>
      </c>
      <c r="B11" s="7" t="s">
        <v>69</v>
      </c>
      <c r="C11" s="2" t="s">
        <v>876</v>
      </c>
      <c r="D11" s="2" t="s">
        <v>877</v>
      </c>
      <c r="E11" s="33">
        <v>46072</v>
      </c>
      <c r="F11" s="27">
        <f t="shared" si="2"/>
        <v>0.31832175925956108</v>
      </c>
      <c r="G11" s="27"/>
      <c r="H11" s="27"/>
      <c r="I11" s="27">
        <f t="shared" si="0"/>
        <v>0.70849537036701804</v>
      </c>
      <c r="J11" s="8"/>
    </row>
    <row r="12" spans="1:12" x14ac:dyDescent="0.25">
      <c r="A12" s="6" t="s">
        <v>68</v>
      </c>
      <c r="B12" s="7" t="s">
        <v>69</v>
      </c>
      <c r="C12" s="2" t="s">
        <v>878</v>
      </c>
      <c r="D12" s="2" t="s">
        <v>879</v>
      </c>
      <c r="E12" s="33">
        <v>46073</v>
      </c>
      <c r="F12" s="27">
        <f t="shared" si="2"/>
        <v>0.31934027777606389</v>
      </c>
      <c r="G12" s="27"/>
      <c r="H12" s="27"/>
      <c r="I12" s="27">
        <f t="shared" si="0"/>
        <v>0.687534722223063</v>
      </c>
      <c r="J12" s="8"/>
    </row>
    <row r="13" spans="1:12" x14ac:dyDescent="0.25">
      <c r="A13" s="6" t="s">
        <v>68</v>
      </c>
      <c r="B13" s="7" t="s">
        <v>69</v>
      </c>
      <c r="C13" s="2" t="s">
        <v>880</v>
      </c>
      <c r="D13" s="2" t="s">
        <v>881</v>
      </c>
      <c r="E13" s="33">
        <v>46074</v>
      </c>
      <c r="F13" s="27">
        <f t="shared" si="2"/>
        <v>0.49414351851737592</v>
      </c>
      <c r="G13" s="27"/>
      <c r="H13" s="27"/>
      <c r="I13" s="27">
        <f t="shared" si="0"/>
        <v>0.71001157407590654</v>
      </c>
      <c r="J13" s="8" t="s">
        <v>261</v>
      </c>
    </row>
    <row r="14" spans="1:12" x14ac:dyDescent="0.25">
      <c r="A14" s="6" t="s">
        <v>68</v>
      </c>
      <c r="B14" s="7" t="s">
        <v>69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68</v>
      </c>
      <c r="B15" s="7" t="s">
        <v>69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68</v>
      </c>
      <c r="B16" s="7" t="s">
        <v>69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68</v>
      </c>
      <c r="B17" s="7" t="s">
        <v>69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68</v>
      </c>
      <c r="B18" s="7" t="s">
        <v>69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phoneticPr fontId="2" type="noConversion"/>
  <conditionalFormatting sqref="C1:E1048576 K1:L1048576">
    <cfRule type="cellIs" dxfId="104" priority="25" operator="equal">
      <formula>"UNDERTIME"</formula>
    </cfRule>
  </conditionalFormatting>
  <conditionalFormatting sqref="F3:H18">
    <cfRule type="cellIs" dxfId="103" priority="1" operator="equal">
      <formula>"UNDERTIME"</formula>
    </cfRule>
  </conditionalFormatting>
  <conditionalFormatting sqref="F1:J2 F19:J1048576">
    <cfRule type="cellIs" dxfId="102" priority="16" operator="equal">
      <formula>"UNDERTIME"</formula>
    </cfRule>
  </conditionalFormatting>
  <conditionalFormatting sqref="J1:J2 J14:J1048576">
    <cfRule type="cellIs" dxfId="101" priority="17" operator="equal">
      <formula>"UNDERTIME"</formula>
    </cfRule>
  </conditionalFormatting>
  <conditionalFormatting sqref="J1:J14">
    <cfRule type="cellIs" dxfId="100" priority="7" operator="equal">
      <formula>"OB"</formula>
    </cfRule>
  </conditionalFormatting>
  <conditionalFormatting sqref="J1:J1048576">
    <cfRule type="cellIs" dxfId="99" priority="6" operator="equal">
      <formula>"HOLIDAY"</formula>
    </cfRule>
    <cfRule type="cellIs" dxfId="98" priority="8" operator="equal">
      <formula>"RESTDAY"</formula>
    </cfRule>
    <cfRule type="cellIs" dxfId="97" priority="9" operator="equal">
      <formula>"HALF DAY"</formula>
    </cfRule>
    <cfRule type="cellIs" dxfId="96" priority="10" operator="equal">
      <formula>"ABSENT"</formula>
    </cfRule>
    <cfRule type="cellIs" dxfId="95" priority="12" operator="equal">
      <formula>"ABSENT"</formula>
    </cfRule>
  </conditionalFormatting>
  <conditionalFormatting sqref="J3:J14">
    <cfRule type="cellIs" dxfId="94" priority="11" operator="equal">
      <formula>"UNDERTIME"</formula>
    </cfRule>
  </conditionalFormatting>
  <conditionalFormatting sqref="J3:J18">
    <cfRule type="cellIs" dxfId="93" priority="5" operator="equal">
      <formula>"UNDERTIME"</formula>
    </cfRule>
  </conditionalFormatting>
  <conditionalFormatting sqref="J5:J1048576">
    <cfRule type="cellIs" dxfId="92" priority="14" operator="equal">
      <formula>"OB"</formula>
    </cfRule>
  </conditionalFormatting>
  <conditionalFormatting sqref="J6">
    <cfRule type="cellIs" dxfId="91" priority="4" operator="equal">
      <formula>"OB"</formula>
    </cfRule>
  </conditionalFormatting>
  <conditionalFormatting sqref="J7">
    <cfRule type="cellIs" dxfId="90" priority="15" operator="equal">
      <formula>"OB"</formula>
    </cfRule>
  </conditionalFormatting>
  <conditionalFormatting sqref="J13">
    <cfRule type="cellIs" dxfId="89" priority="13" operator="equal">
      <formula>"OB"</formula>
    </cfRule>
  </conditionalFormatting>
  <conditionalFormatting sqref="J14">
    <cfRule type="cellIs" dxfId="88" priority="3" operator="equal">
      <formula>"OB"</formula>
    </cfRule>
    <cfRule type="cellIs" dxfId="87" priority="18" operator="equal">
      <formula>"OB"</formula>
    </cfRule>
  </conditionalFormatting>
  <conditionalFormatting sqref="J14:J1048576">
    <cfRule type="cellIs" dxfId="86" priority="19" operator="equal">
      <formula>"OB"</formula>
    </cfRule>
  </conditionalFormatting>
  <conditionalFormatting sqref="J17:J18">
    <cfRule type="cellIs" dxfId="85" priority="20" operator="equal">
      <formula>"OB"</formula>
    </cfRule>
  </conditionalFormatting>
  <conditionalFormatting sqref="K6:K8">
    <cfRule type="containsText" dxfId="84" priority="43" operator="containsText" text="SUNDAY">
      <formula>NOT(ISERROR(SEARCH("SUNDAY",K6)))</formula>
    </cfRule>
    <cfRule type="containsText" dxfId="83" priority="44" operator="containsText" text="HOLIDAY">
      <formula>NOT(ISERROR(SEARCH("HOLIDAY",K6)))</formula>
    </cfRule>
  </conditionalFormatting>
  <conditionalFormatting sqref="K9">
    <cfRule type="containsText" dxfId="82" priority="45" operator="containsText" text="SUNDAY">
      <formula>NOT(ISERROR(SEARCH("SUNDAY",K9)))</formula>
    </cfRule>
    <cfRule type="containsText" dxfId="81" priority="46" operator="containsText" text="HOLIDAY">
      <formula>NOT(ISERROR(SEARCH("HOLIDAY",K9)))</formula>
    </cfRule>
  </conditionalFormatting>
  <conditionalFormatting sqref="L5:L9">
    <cfRule type="containsText" dxfId="80" priority="41" operator="containsText" text="SUNDAY">
      <formula>NOT(ISERROR(SEARCH("SUNDAY",L5)))</formula>
    </cfRule>
    <cfRule type="containsText" dxfId="79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0CDC3-DDBE-4306-B142-C9B198B53007}">
  <dimension ref="A1:L26"/>
  <sheetViews>
    <sheetView zoomScaleNormal="100" zoomScaleSheetLayoutView="93" workbookViewId="0">
      <selection activeCell="L6" sqref="L6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34"/>
      <c r="B2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70</v>
      </c>
      <c r="B3" s="7" t="s">
        <v>71</v>
      </c>
      <c r="C3" s="2" t="s">
        <v>882</v>
      </c>
      <c r="D3" s="2" t="s">
        <v>883</v>
      </c>
      <c r="E3" s="33">
        <v>46064</v>
      </c>
      <c r="F3" s="27">
        <f>C3-E3</f>
        <v>0.317696759258979</v>
      </c>
      <c r="G3" s="27"/>
      <c r="H3" s="27"/>
      <c r="I3" s="27">
        <f t="shared" ref="I3:I13" si="0">D3-E3</f>
        <v>0.71449074074189411</v>
      </c>
      <c r="J3" s="8"/>
    </row>
    <row r="4" spans="1:12" x14ac:dyDescent="0.25">
      <c r="A4" s="6" t="s">
        <v>70</v>
      </c>
      <c r="B4" s="7" t="s">
        <v>71</v>
      </c>
      <c r="C4" s="2" t="s">
        <v>884</v>
      </c>
      <c r="D4" s="2" t="s">
        <v>885</v>
      </c>
      <c r="E4" s="33">
        <v>46065</v>
      </c>
      <c r="F4" s="27">
        <f t="shared" ref="F4:F6" si="1">C4-E4</f>
        <v>0.31965277777635492</v>
      </c>
      <c r="G4" s="27"/>
      <c r="H4" s="27"/>
      <c r="I4" s="27">
        <f t="shared" si="0"/>
        <v>0.70869212962861639</v>
      </c>
      <c r="J4" s="8"/>
    </row>
    <row r="5" spans="1:12" x14ac:dyDescent="0.25">
      <c r="A5" s="6" t="s">
        <v>70</v>
      </c>
      <c r="B5" s="7" t="s">
        <v>71</v>
      </c>
      <c r="C5" s="2" t="s">
        <v>886</v>
      </c>
      <c r="D5" s="2" t="s">
        <v>887</v>
      </c>
      <c r="E5" s="33">
        <v>46066</v>
      </c>
      <c r="F5" s="27">
        <f t="shared" si="1"/>
        <v>0.32675925926014315</v>
      </c>
      <c r="G5" s="27"/>
      <c r="H5" s="27"/>
      <c r="I5" s="27">
        <f t="shared" si="0"/>
        <v>0.70848379629751435</v>
      </c>
      <c r="J5" s="8"/>
      <c r="K5" s="3" t="s">
        <v>6</v>
      </c>
      <c r="L5" s="4">
        <v>0</v>
      </c>
    </row>
    <row r="6" spans="1:12" x14ac:dyDescent="0.25">
      <c r="A6" s="6" t="s">
        <v>70</v>
      </c>
      <c r="B6" s="7" t="s">
        <v>71</v>
      </c>
      <c r="C6" s="2" t="s">
        <v>888</v>
      </c>
      <c r="D6" s="2" t="s">
        <v>889</v>
      </c>
      <c r="E6" s="33">
        <v>46067</v>
      </c>
      <c r="F6" s="27">
        <f t="shared" si="1"/>
        <v>0.32697916666802485</v>
      </c>
      <c r="G6" s="27"/>
      <c r="H6" s="27"/>
      <c r="I6" s="27">
        <f t="shared" si="0"/>
        <v>0.70900462962890742</v>
      </c>
      <c r="J6" s="8"/>
      <c r="K6" s="3" t="s">
        <v>7</v>
      </c>
      <c r="L6" s="4">
        <v>1</v>
      </c>
    </row>
    <row r="7" spans="1:12" x14ac:dyDescent="0.25">
      <c r="A7" s="6" t="s">
        <v>70</v>
      </c>
      <c r="B7" s="7" t="s">
        <v>71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70</v>
      </c>
      <c r="B8" s="7" t="s">
        <v>71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70</v>
      </c>
      <c r="B9" s="7" t="s">
        <v>71</v>
      </c>
      <c r="C9" s="2" t="s">
        <v>890</v>
      </c>
      <c r="D9" s="2" t="s">
        <v>891</v>
      </c>
      <c r="E9" s="33">
        <v>46070</v>
      </c>
      <c r="F9" s="27">
        <f t="shared" ref="F9:F13" si="2">C9-E9</f>
        <v>0.3137731481474475</v>
      </c>
      <c r="G9" s="27"/>
      <c r="H9" s="27"/>
      <c r="I9" s="27">
        <f t="shared" si="0"/>
        <v>0.70876157407474238</v>
      </c>
      <c r="J9" s="8"/>
      <c r="K9" s="3" t="s">
        <v>10</v>
      </c>
      <c r="L9" s="4">
        <v>0</v>
      </c>
    </row>
    <row r="10" spans="1:12" x14ac:dyDescent="0.25">
      <c r="A10" s="6" t="s">
        <v>70</v>
      </c>
      <c r="B10" s="7" t="s">
        <v>71</v>
      </c>
      <c r="C10" s="2" t="s">
        <v>892</v>
      </c>
      <c r="D10" s="2" t="s">
        <v>893</v>
      </c>
      <c r="E10" s="33">
        <v>46071</v>
      </c>
      <c r="F10" s="27">
        <f t="shared" si="2"/>
        <v>0.31945601852203254</v>
      </c>
      <c r="G10" s="27"/>
      <c r="H10" s="27"/>
      <c r="I10" s="27">
        <f t="shared" si="0"/>
        <v>0.70840277777460869</v>
      </c>
      <c r="J10" s="8"/>
    </row>
    <row r="11" spans="1:12" x14ac:dyDescent="0.25">
      <c r="A11" s="6" t="s">
        <v>70</v>
      </c>
      <c r="B11" s="7" t="s">
        <v>71</v>
      </c>
      <c r="C11" s="2" t="s">
        <v>894</v>
      </c>
      <c r="D11" s="2" t="s">
        <v>895</v>
      </c>
      <c r="E11" s="33">
        <v>46072</v>
      </c>
      <c r="F11" s="27">
        <f t="shared" si="2"/>
        <v>0.32250000000203727</v>
      </c>
      <c r="G11" s="27"/>
      <c r="H11" s="27"/>
      <c r="I11" s="27">
        <f t="shared" si="0"/>
        <v>0.708460648151231</v>
      </c>
      <c r="J11" s="8"/>
    </row>
    <row r="12" spans="1:12" x14ac:dyDescent="0.25">
      <c r="A12" s="6" t="s">
        <v>70</v>
      </c>
      <c r="B12" s="7" t="s">
        <v>71</v>
      </c>
      <c r="C12" s="2" t="s">
        <v>896</v>
      </c>
      <c r="D12" s="2" t="s">
        <v>897</v>
      </c>
      <c r="E12" s="33">
        <v>46073</v>
      </c>
      <c r="F12" s="27">
        <f t="shared" si="2"/>
        <v>0.32799768518452765</v>
      </c>
      <c r="G12" s="27"/>
      <c r="H12" s="27"/>
      <c r="I12" s="27">
        <f t="shared" si="0"/>
        <v>0.73105324074276723</v>
      </c>
      <c r="J12" s="8"/>
    </row>
    <row r="13" spans="1:12" x14ac:dyDescent="0.25">
      <c r="A13" s="6" t="s">
        <v>70</v>
      </c>
      <c r="B13" s="7" t="s">
        <v>71</v>
      </c>
      <c r="C13" s="2" t="s">
        <v>898</v>
      </c>
      <c r="D13" s="2" t="s">
        <v>899</v>
      </c>
      <c r="E13" s="33">
        <v>46074</v>
      </c>
      <c r="F13" s="27">
        <f t="shared" si="2"/>
        <v>0.32515046296612127</v>
      </c>
      <c r="G13" s="27"/>
      <c r="H13" s="27"/>
      <c r="I13" s="27">
        <f t="shared" si="0"/>
        <v>0.72752314814715646</v>
      </c>
      <c r="J13" s="8"/>
    </row>
    <row r="14" spans="1:12" x14ac:dyDescent="0.25">
      <c r="A14" s="6" t="s">
        <v>70</v>
      </c>
      <c r="B14" s="7" t="s">
        <v>71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70</v>
      </c>
      <c r="B15" s="7" t="s">
        <v>71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70</v>
      </c>
      <c r="B16" s="7" t="s">
        <v>71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70</v>
      </c>
      <c r="B17" s="7" t="s">
        <v>71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70</v>
      </c>
      <c r="B18" s="7" t="s">
        <v>71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phoneticPr fontId="2" type="noConversion"/>
  <conditionalFormatting sqref="C1:E1048576 K1:L1048576">
    <cfRule type="cellIs" dxfId="78" priority="25" operator="equal">
      <formula>"UNDERTIME"</formula>
    </cfRule>
  </conditionalFormatting>
  <conditionalFormatting sqref="F3:H18">
    <cfRule type="cellIs" dxfId="77" priority="1" operator="equal">
      <formula>"UNDERTIME"</formula>
    </cfRule>
  </conditionalFormatting>
  <conditionalFormatting sqref="F1:J2 F19:J1048576">
    <cfRule type="cellIs" dxfId="76" priority="16" operator="equal">
      <formula>"UNDERTIME"</formula>
    </cfRule>
  </conditionalFormatting>
  <conditionalFormatting sqref="J1:J2 J14:J1048576">
    <cfRule type="cellIs" dxfId="75" priority="17" operator="equal">
      <formula>"UNDERTIME"</formula>
    </cfRule>
  </conditionalFormatting>
  <conditionalFormatting sqref="J1:J14">
    <cfRule type="cellIs" dxfId="74" priority="7" operator="equal">
      <formula>"OB"</formula>
    </cfRule>
  </conditionalFormatting>
  <conditionalFormatting sqref="J1:J1048576">
    <cfRule type="cellIs" dxfId="73" priority="6" operator="equal">
      <formula>"HOLIDAY"</formula>
    </cfRule>
    <cfRule type="cellIs" dxfId="72" priority="8" operator="equal">
      <formula>"RESTDAY"</formula>
    </cfRule>
    <cfRule type="cellIs" dxfId="71" priority="9" operator="equal">
      <formula>"HALF DAY"</formula>
    </cfRule>
    <cfRule type="cellIs" dxfId="70" priority="10" operator="equal">
      <formula>"ABSENT"</formula>
    </cfRule>
    <cfRule type="cellIs" dxfId="69" priority="12" operator="equal">
      <formula>"ABSENT"</formula>
    </cfRule>
  </conditionalFormatting>
  <conditionalFormatting sqref="J3:J14">
    <cfRule type="cellIs" dxfId="68" priority="11" operator="equal">
      <formula>"UNDERTIME"</formula>
    </cfRule>
  </conditionalFormatting>
  <conditionalFormatting sqref="J3:J18">
    <cfRule type="cellIs" dxfId="67" priority="5" operator="equal">
      <formula>"UNDERTIME"</formula>
    </cfRule>
  </conditionalFormatting>
  <conditionalFormatting sqref="J5:J1048576">
    <cfRule type="cellIs" dxfId="66" priority="14" operator="equal">
      <formula>"OB"</formula>
    </cfRule>
  </conditionalFormatting>
  <conditionalFormatting sqref="J6">
    <cfRule type="cellIs" dxfId="65" priority="4" operator="equal">
      <formula>"OB"</formula>
    </cfRule>
  </conditionalFormatting>
  <conditionalFormatting sqref="J7">
    <cfRule type="cellIs" dxfId="64" priority="15" operator="equal">
      <formula>"OB"</formula>
    </cfRule>
  </conditionalFormatting>
  <conditionalFormatting sqref="J13">
    <cfRule type="cellIs" dxfId="63" priority="13" operator="equal">
      <formula>"OB"</formula>
    </cfRule>
  </conditionalFormatting>
  <conditionalFormatting sqref="J14">
    <cfRule type="cellIs" dxfId="62" priority="3" operator="equal">
      <formula>"OB"</formula>
    </cfRule>
    <cfRule type="cellIs" dxfId="61" priority="18" operator="equal">
      <formula>"OB"</formula>
    </cfRule>
  </conditionalFormatting>
  <conditionalFormatting sqref="J14:J1048576">
    <cfRule type="cellIs" dxfId="60" priority="19" operator="equal">
      <formula>"OB"</formula>
    </cfRule>
  </conditionalFormatting>
  <conditionalFormatting sqref="J17:J18">
    <cfRule type="cellIs" dxfId="59" priority="20" operator="equal">
      <formula>"OB"</formula>
    </cfRule>
  </conditionalFormatting>
  <conditionalFormatting sqref="K6:K8">
    <cfRule type="containsText" dxfId="58" priority="43" operator="containsText" text="SUNDAY">
      <formula>NOT(ISERROR(SEARCH("SUNDAY",K6)))</formula>
    </cfRule>
    <cfRule type="containsText" dxfId="57" priority="44" operator="containsText" text="HOLIDAY">
      <formula>NOT(ISERROR(SEARCH("HOLIDAY",K6)))</formula>
    </cfRule>
  </conditionalFormatting>
  <conditionalFormatting sqref="K9">
    <cfRule type="containsText" dxfId="56" priority="45" operator="containsText" text="SUNDAY">
      <formula>NOT(ISERROR(SEARCH("SUNDAY",K9)))</formula>
    </cfRule>
    <cfRule type="containsText" dxfId="55" priority="46" operator="containsText" text="HOLIDAY">
      <formula>NOT(ISERROR(SEARCH("HOLIDAY",K9)))</formula>
    </cfRule>
  </conditionalFormatting>
  <conditionalFormatting sqref="L5:L9">
    <cfRule type="containsText" dxfId="54" priority="41" operator="containsText" text="SUNDAY">
      <formula>NOT(ISERROR(SEARCH("SUNDAY",L5)))</formula>
    </cfRule>
    <cfRule type="containsText" dxfId="53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AAF5-3C40-4D40-BC8A-85CAC67C4B4D}">
  <dimension ref="A1:L26"/>
  <sheetViews>
    <sheetView zoomScaleNormal="100" zoomScaleSheetLayoutView="93" workbookViewId="0">
      <selection activeCell="L6" sqref="L6"/>
    </sheetView>
  </sheetViews>
  <sheetFormatPr defaultColWidth="8.85546875" defaultRowHeight="15" x14ac:dyDescent="0.25"/>
  <cols>
    <col min="1" max="1" width="13.28515625" style="1" bestFit="1" customWidth="1"/>
    <col min="2" max="2" width="28.42578125" style="1" customWidth="1"/>
    <col min="3" max="3" width="28.42578125" style="1" hidden="1" customWidth="1"/>
    <col min="4" max="4" width="24" style="1" hidden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x14ac:dyDescent="0.25">
      <c r="A1" s="11" t="s">
        <v>1</v>
      </c>
      <c r="B1" s="12" t="s">
        <v>0</v>
      </c>
      <c r="C1" s="30"/>
      <c r="D1" s="12"/>
      <c r="E1" s="19" t="s">
        <v>80</v>
      </c>
      <c r="F1" s="58" t="s">
        <v>2</v>
      </c>
      <c r="G1" s="58"/>
      <c r="H1" s="58" t="s">
        <v>3</v>
      </c>
      <c r="I1" s="58"/>
      <c r="J1" s="13" t="s">
        <v>17</v>
      </c>
    </row>
    <row r="2" spans="1:12" x14ac:dyDescent="0.25">
      <c r="A2" s="34"/>
      <c r="B2"/>
      <c r="C2" s="22"/>
      <c r="D2" s="22"/>
      <c r="E2" s="23"/>
      <c r="F2" s="16" t="s">
        <v>4</v>
      </c>
      <c r="G2" s="16" t="s">
        <v>5</v>
      </c>
      <c r="H2" s="16" t="s">
        <v>4</v>
      </c>
      <c r="I2" s="35" t="s">
        <v>5</v>
      </c>
      <c r="J2" s="8"/>
    </row>
    <row r="3" spans="1:12" x14ac:dyDescent="0.25">
      <c r="A3" s="6" t="s">
        <v>72</v>
      </c>
      <c r="B3" s="7" t="s">
        <v>73</v>
      </c>
      <c r="C3" s="2" t="s">
        <v>900</v>
      </c>
      <c r="D3" s="2" t="s">
        <v>901</v>
      </c>
      <c r="E3" s="33">
        <v>46064</v>
      </c>
      <c r="F3" s="27">
        <f>C3-E3</f>
        <v>0.30175925925868796</v>
      </c>
      <c r="G3" s="27"/>
      <c r="H3" s="27"/>
      <c r="I3" s="27">
        <f t="shared" ref="I3:I13" si="0">D3-E3</f>
        <v>0.72302083333488554</v>
      </c>
      <c r="J3" s="8"/>
    </row>
    <row r="4" spans="1:12" x14ac:dyDescent="0.25">
      <c r="A4" s="6" t="s">
        <v>72</v>
      </c>
      <c r="B4" s="7" t="s">
        <v>73</v>
      </c>
      <c r="C4" s="2" t="s">
        <v>902</v>
      </c>
      <c r="D4" s="2" t="s">
        <v>903</v>
      </c>
      <c r="E4" s="33">
        <v>46065</v>
      </c>
      <c r="F4" s="27">
        <f t="shared" ref="F4:F6" si="1">C4-E4</f>
        <v>0.29013888888584916</v>
      </c>
      <c r="G4" s="27"/>
      <c r="H4" s="27"/>
      <c r="I4" s="27">
        <f t="shared" si="0"/>
        <v>0.71499999999650754</v>
      </c>
      <c r="J4" s="8"/>
    </row>
    <row r="5" spans="1:12" x14ac:dyDescent="0.25">
      <c r="A5" s="6" t="s">
        <v>72</v>
      </c>
      <c r="B5" s="7" t="s">
        <v>73</v>
      </c>
      <c r="C5" s="2" t="s">
        <v>904</v>
      </c>
      <c r="D5" s="2" t="s">
        <v>905</v>
      </c>
      <c r="E5" s="33">
        <v>46066</v>
      </c>
      <c r="F5" s="27">
        <f t="shared" si="1"/>
        <v>0.30284722222131677</v>
      </c>
      <c r="G5" s="27"/>
      <c r="H5" s="27"/>
      <c r="I5" s="27">
        <f t="shared" si="0"/>
        <v>0.71199074073956581</v>
      </c>
      <c r="J5" s="8"/>
      <c r="K5" s="3" t="s">
        <v>6</v>
      </c>
      <c r="L5" s="4">
        <v>0</v>
      </c>
    </row>
    <row r="6" spans="1:12" x14ac:dyDescent="0.25">
      <c r="A6" s="6" t="s">
        <v>72</v>
      </c>
      <c r="B6" s="7" t="s">
        <v>73</v>
      </c>
      <c r="C6" s="2" t="s">
        <v>906</v>
      </c>
      <c r="D6" s="2" t="s">
        <v>907</v>
      </c>
      <c r="E6" s="33">
        <v>46067</v>
      </c>
      <c r="F6" s="27">
        <f t="shared" si="1"/>
        <v>0.28155092592351139</v>
      </c>
      <c r="G6" s="27"/>
      <c r="H6" s="27"/>
      <c r="I6" s="27">
        <f t="shared" si="0"/>
        <v>0.50077546296233777</v>
      </c>
      <c r="J6" s="8" t="s">
        <v>261</v>
      </c>
      <c r="K6" s="3" t="s">
        <v>7</v>
      </c>
      <c r="L6" s="4">
        <v>0.5</v>
      </c>
    </row>
    <row r="7" spans="1:12" x14ac:dyDescent="0.25">
      <c r="A7" s="6" t="s">
        <v>72</v>
      </c>
      <c r="B7" s="7" t="s">
        <v>73</v>
      </c>
      <c r="C7" s="28"/>
      <c r="D7" s="28"/>
      <c r="E7" s="33">
        <v>46068</v>
      </c>
      <c r="F7" s="27"/>
      <c r="G7" s="27"/>
      <c r="H7" s="27"/>
      <c r="I7" s="27"/>
      <c r="J7" s="8" t="s">
        <v>13</v>
      </c>
      <c r="K7" s="3" t="s">
        <v>8</v>
      </c>
      <c r="L7" s="4">
        <v>0</v>
      </c>
    </row>
    <row r="8" spans="1:12" x14ac:dyDescent="0.25">
      <c r="A8" s="6" t="s">
        <v>72</v>
      </c>
      <c r="B8" s="7" t="s">
        <v>73</v>
      </c>
      <c r="C8" s="28"/>
      <c r="D8" s="28"/>
      <c r="E8" s="33">
        <v>46069</v>
      </c>
      <c r="F8" s="27"/>
      <c r="G8" s="28"/>
      <c r="H8" s="28"/>
      <c r="I8" s="27"/>
      <c r="J8" s="8" t="s">
        <v>128</v>
      </c>
      <c r="K8" s="3" t="s">
        <v>9</v>
      </c>
      <c r="L8" s="4">
        <v>0</v>
      </c>
    </row>
    <row r="9" spans="1:12" x14ac:dyDescent="0.25">
      <c r="A9" s="6" t="s">
        <v>72</v>
      </c>
      <c r="B9" s="7" t="s">
        <v>73</v>
      </c>
      <c r="C9" s="2" t="s">
        <v>908</v>
      </c>
      <c r="D9" s="2" t="s">
        <v>909</v>
      </c>
      <c r="E9" s="33">
        <v>46070</v>
      </c>
      <c r="F9" s="27">
        <f t="shared" ref="F9:F13" si="2">C9-E9</f>
        <v>0.26520833333051996</v>
      </c>
      <c r="G9" s="27"/>
      <c r="H9" s="27"/>
      <c r="I9" s="27">
        <f t="shared" si="0"/>
        <v>0.7225347222192795</v>
      </c>
      <c r="J9" s="8"/>
      <c r="K9" s="3" t="s">
        <v>10</v>
      </c>
      <c r="L9" s="4">
        <v>0</v>
      </c>
    </row>
    <row r="10" spans="1:12" x14ac:dyDescent="0.25">
      <c r="A10" s="6" t="s">
        <v>72</v>
      </c>
      <c r="B10" s="7" t="s">
        <v>73</v>
      </c>
      <c r="C10" s="2" t="s">
        <v>910</v>
      </c>
      <c r="D10" s="2" t="s">
        <v>911</v>
      </c>
      <c r="E10" s="33">
        <v>46071</v>
      </c>
      <c r="F10" s="27">
        <f t="shared" si="2"/>
        <v>0.28842592592263827</v>
      </c>
      <c r="G10" s="27"/>
      <c r="H10" s="27"/>
      <c r="I10" s="27">
        <f t="shared" si="0"/>
        <v>0.71907407407707069</v>
      </c>
      <c r="J10" s="8"/>
    </row>
    <row r="11" spans="1:12" x14ac:dyDescent="0.25">
      <c r="A11" s="6" t="s">
        <v>72</v>
      </c>
      <c r="B11" s="7" t="s">
        <v>73</v>
      </c>
      <c r="C11" s="2" t="s">
        <v>912</v>
      </c>
      <c r="D11" s="2" t="s">
        <v>913</v>
      </c>
      <c r="E11" s="33">
        <v>46072</v>
      </c>
      <c r="F11" s="27">
        <f t="shared" si="2"/>
        <v>0.29386574074305827</v>
      </c>
      <c r="G11" s="27"/>
      <c r="H11" s="27"/>
      <c r="I11" s="27">
        <f t="shared" si="0"/>
        <v>0.71895833333110204</v>
      </c>
      <c r="J11" s="8"/>
    </row>
    <row r="12" spans="1:12" x14ac:dyDescent="0.25">
      <c r="A12" s="6" t="s">
        <v>72</v>
      </c>
      <c r="B12" s="7" t="s">
        <v>73</v>
      </c>
      <c r="C12" s="2" t="s">
        <v>914</v>
      </c>
      <c r="D12" s="2" t="s">
        <v>915</v>
      </c>
      <c r="E12" s="33">
        <v>46073</v>
      </c>
      <c r="F12" s="27">
        <f t="shared" si="2"/>
        <v>0.28664351852057735</v>
      </c>
      <c r="G12" s="27"/>
      <c r="H12" s="27"/>
      <c r="I12" s="27">
        <f t="shared" si="0"/>
        <v>0.74774305555911269</v>
      </c>
      <c r="J12" s="8"/>
    </row>
    <row r="13" spans="1:12" x14ac:dyDescent="0.25">
      <c r="A13" s="6" t="s">
        <v>72</v>
      </c>
      <c r="B13" s="7" t="s">
        <v>73</v>
      </c>
      <c r="C13" s="2" t="s">
        <v>916</v>
      </c>
      <c r="D13" s="2" t="s">
        <v>917</v>
      </c>
      <c r="E13" s="33">
        <v>46074</v>
      </c>
      <c r="F13" s="27">
        <f t="shared" si="2"/>
        <v>0.28732638889050577</v>
      </c>
      <c r="G13" s="27"/>
      <c r="H13" s="27"/>
      <c r="I13" s="27">
        <f t="shared" si="0"/>
        <v>0.71537037037342088</v>
      </c>
      <c r="J13" s="8"/>
    </row>
    <row r="14" spans="1:12" x14ac:dyDescent="0.25">
      <c r="A14" s="6" t="s">
        <v>72</v>
      </c>
      <c r="B14" s="7" t="s">
        <v>73</v>
      </c>
      <c r="C14" s="2"/>
      <c r="D14" s="2"/>
      <c r="E14" s="33">
        <v>46075</v>
      </c>
      <c r="F14" s="27"/>
      <c r="G14" s="29"/>
      <c r="H14" s="29"/>
      <c r="I14" s="41"/>
      <c r="J14" s="8" t="s">
        <v>13</v>
      </c>
    </row>
    <row r="15" spans="1:12" x14ac:dyDescent="0.25">
      <c r="A15" s="6" t="s">
        <v>72</v>
      </c>
      <c r="B15" s="7" t="s">
        <v>73</v>
      </c>
      <c r="C15" s="2"/>
      <c r="D15" s="2"/>
      <c r="E15" s="33">
        <v>46076</v>
      </c>
      <c r="F15" s="27">
        <v>0.33333333333333331</v>
      </c>
      <c r="G15" s="29"/>
      <c r="H15" s="29"/>
      <c r="I15" s="27">
        <v>0.70833333333333337</v>
      </c>
      <c r="J15" s="8"/>
    </row>
    <row r="16" spans="1:12" x14ac:dyDescent="0.25">
      <c r="A16" s="6" t="s">
        <v>72</v>
      </c>
      <c r="B16" s="7" t="s">
        <v>73</v>
      </c>
      <c r="C16" s="28"/>
      <c r="D16" s="28"/>
      <c r="E16" s="33">
        <v>46077</v>
      </c>
      <c r="F16" s="27">
        <v>0.33333333333333331</v>
      </c>
      <c r="G16" s="29"/>
      <c r="H16" s="29"/>
      <c r="I16" s="27">
        <v>0.70833333333333337</v>
      </c>
      <c r="J16" s="8"/>
    </row>
    <row r="17" spans="1:10" x14ac:dyDescent="0.25">
      <c r="A17" s="6" t="s">
        <v>72</v>
      </c>
      <c r="B17" s="7" t="s">
        <v>73</v>
      </c>
      <c r="C17" s="2"/>
      <c r="D17" s="2"/>
      <c r="E17" s="33">
        <v>46078</v>
      </c>
      <c r="F17" s="27">
        <v>0.33333333333333331</v>
      </c>
      <c r="G17" s="29"/>
      <c r="H17" s="29"/>
      <c r="I17" s="27">
        <v>0.70833333333333337</v>
      </c>
      <c r="J17" s="8"/>
    </row>
    <row r="18" spans="1:10" ht="15.75" customHeight="1" x14ac:dyDescent="0.25">
      <c r="A18" s="6" t="s">
        <v>72</v>
      </c>
      <c r="B18" s="7" t="s">
        <v>73</v>
      </c>
      <c r="C18" s="28"/>
      <c r="D18" s="28"/>
      <c r="E18" s="33"/>
      <c r="F18" s="27"/>
      <c r="G18" s="29"/>
      <c r="H18" s="29"/>
      <c r="I18" s="27"/>
      <c r="J18" s="8"/>
    </row>
    <row r="19" spans="1:10" x14ac:dyDescent="0.25">
      <c r="C19" s="2"/>
      <c r="D19" s="2"/>
      <c r="E19" s="33"/>
      <c r="F19" s="27"/>
      <c r="I19" s="27"/>
      <c r="J19" s="8"/>
    </row>
    <row r="20" spans="1:10" ht="15.75" thickBot="1" x14ac:dyDescent="0.3">
      <c r="A20" s="9"/>
      <c r="B20" s="10"/>
      <c r="C20" s="37"/>
      <c r="D20" s="17"/>
      <c r="E20" s="37"/>
      <c r="F20" s="17"/>
      <c r="G20" s="17"/>
      <c r="H20" s="17"/>
      <c r="I20" s="17"/>
      <c r="J20" s="26"/>
    </row>
    <row r="21" spans="1:10" x14ac:dyDescent="0.25">
      <c r="B21" s="2"/>
      <c r="H21" s="38"/>
    </row>
    <row r="22" spans="1:10" x14ac:dyDescent="0.25">
      <c r="B22" s="2"/>
      <c r="C22" s="2"/>
      <c r="D22" s="2"/>
      <c r="E22" s="20"/>
    </row>
    <row r="23" spans="1:10" x14ac:dyDescent="0.25">
      <c r="B23" s="2"/>
      <c r="C23" s="2"/>
      <c r="D23" s="2"/>
      <c r="E23" s="20"/>
    </row>
    <row r="24" spans="1:10" x14ac:dyDescent="0.25">
      <c r="B24" s="2"/>
      <c r="C24" s="2"/>
      <c r="D24" s="2"/>
      <c r="E24" s="20"/>
    </row>
    <row r="25" spans="1:10" x14ac:dyDescent="0.25">
      <c r="C25" s="2"/>
      <c r="D25" s="2"/>
      <c r="E25" s="20"/>
    </row>
    <row r="26" spans="1:10" x14ac:dyDescent="0.25">
      <c r="C26" s="2"/>
      <c r="D26" s="2"/>
      <c r="E26" s="20"/>
    </row>
  </sheetData>
  <mergeCells count="2">
    <mergeCell ref="F1:G1"/>
    <mergeCell ref="H1:I1"/>
  </mergeCells>
  <phoneticPr fontId="2" type="noConversion"/>
  <conditionalFormatting sqref="C1:E1048576 K1:L1048576">
    <cfRule type="cellIs" dxfId="52" priority="25" operator="equal">
      <formula>"UNDERTIME"</formula>
    </cfRule>
  </conditionalFormatting>
  <conditionalFormatting sqref="F3:H18">
    <cfRule type="cellIs" dxfId="51" priority="1" operator="equal">
      <formula>"UNDERTIME"</formula>
    </cfRule>
  </conditionalFormatting>
  <conditionalFormatting sqref="F1:J2 F19:J1048576">
    <cfRule type="cellIs" dxfId="50" priority="16" operator="equal">
      <formula>"UNDERTIME"</formula>
    </cfRule>
  </conditionalFormatting>
  <conditionalFormatting sqref="J1:J2 J14:J1048576">
    <cfRule type="cellIs" dxfId="49" priority="17" operator="equal">
      <formula>"UNDERTIME"</formula>
    </cfRule>
  </conditionalFormatting>
  <conditionalFormatting sqref="J1:J14">
    <cfRule type="cellIs" dxfId="48" priority="7" operator="equal">
      <formula>"OB"</formula>
    </cfRule>
  </conditionalFormatting>
  <conditionalFormatting sqref="J1:J1048576">
    <cfRule type="cellIs" dxfId="47" priority="6" operator="equal">
      <formula>"HOLIDAY"</formula>
    </cfRule>
    <cfRule type="cellIs" dxfId="46" priority="8" operator="equal">
      <formula>"RESTDAY"</formula>
    </cfRule>
    <cfRule type="cellIs" dxfId="45" priority="9" operator="equal">
      <formula>"HALF DAY"</formula>
    </cfRule>
    <cfRule type="cellIs" dxfId="44" priority="10" operator="equal">
      <formula>"ABSENT"</formula>
    </cfRule>
    <cfRule type="cellIs" dxfId="43" priority="12" operator="equal">
      <formula>"ABSENT"</formula>
    </cfRule>
  </conditionalFormatting>
  <conditionalFormatting sqref="J3:J14">
    <cfRule type="cellIs" dxfId="42" priority="11" operator="equal">
      <formula>"UNDERTIME"</formula>
    </cfRule>
  </conditionalFormatting>
  <conditionalFormatting sqref="J3:J18">
    <cfRule type="cellIs" dxfId="41" priority="5" operator="equal">
      <formula>"UNDERTIME"</formula>
    </cfRule>
  </conditionalFormatting>
  <conditionalFormatting sqref="J5:J1048576">
    <cfRule type="cellIs" dxfId="40" priority="14" operator="equal">
      <formula>"OB"</formula>
    </cfRule>
  </conditionalFormatting>
  <conditionalFormatting sqref="J6">
    <cfRule type="cellIs" dxfId="39" priority="4" operator="equal">
      <formula>"OB"</formula>
    </cfRule>
  </conditionalFormatting>
  <conditionalFormatting sqref="J7">
    <cfRule type="cellIs" dxfId="38" priority="15" operator="equal">
      <formula>"OB"</formula>
    </cfRule>
  </conditionalFormatting>
  <conditionalFormatting sqref="J13">
    <cfRule type="cellIs" dxfId="37" priority="13" operator="equal">
      <formula>"OB"</formula>
    </cfRule>
  </conditionalFormatting>
  <conditionalFormatting sqref="J14">
    <cfRule type="cellIs" dxfId="36" priority="3" operator="equal">
      <formula>"OB"</formula>
    </cfRule>
    <cfRule type="cellIs" dxfId="35" priority="18" operator="equal">
      <formula>"OB"</formula>
    </cfRule>
  </conditionalFormatting>
  <conditionalFormatting sqref="J14:J1048576">
    <cfRule type="cellIs" dxfId="34" priority="19" operator="equal">
      <formula>"OB"</formula>
    </cfRule>
  </conditionalFormatting>
  <conditionalFormatting sqref="J17:J18">
    <cfRule type="cellIs" dxfId="33" priority="20" operator="equal">
      <formula>"OB"</formula>
    </cfRule>
  </conditionalFormatting>
  <conditionalFormatting sqref="K6:K8">
    <cfRule type="containsText" dxfId="32" priority="43" operator="containsText" text="SUNDAY">
      <formula>NOT(ISERROR(SEARCH("SUNDAY",K6)))</formula>
    </cfRule>
    <cfRule type="containsText" dxfId="31" priority="44" operator="containsText" text="HOLIDAY">
      <formula>NOT(ISERROR(SEARCH("HOLIDAY",K6)))</formula>
    </cfRule>
  </conditionalFormatting>
  <conditionalFormatting sqref="K9">
    <cfRule type="containsText" dxfId="30" priority="45" operator="containsText" text="SUNDAY">
      <formula>NOT(ISERROR(SEARCH("SUNDAY",K9)))</formula>
    </cfRule>
    <cfRule type="containsText" dxfId="29" priority="46" operator="containsText" text="HOLIDAY">
      <formula>NOT(ISERROR(SEARCH("HOLIDAY",K9)))</formula>
    </cfRule>
  </conditionalFormatting>
  <conditionalFormatting sqref="L5:L9">
    <cfRule type="containsText" dxfId="28" priority="41" operator="containsText" text="SUNDAY">
      <formula>NOT(ISERROR(SEARCH("SUNDAY",L5)))</formula>
    </cfRule>
    <cfRule type="containsText" dxfId="27" priority="42" operator="containsText" text="HOLIDAY">
      <formula>NOT(ISERROR(SEARCH("HOLIDAY",L5)))</formula>
    </cfRule>
  </conditionalFormatting>
  <pageMargins left="0.7" right="0.7" top="0.75" bottom="0.75" header="0.3" footer="0.3"/>
  <pageSetup scale="84" orientation="landscape" horizontalDpi="0" verticalDpi="0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C82B-115A-4417-B96F-371E3DB7DE91}">
  <dimension ref="A1:L27"/>
  <sheetViews>
    <sheetView tabSelected="1" zoomScaleNormal="100" zoomScaleSheetLayoutView="93" workbookViewId="0">
      <selection activeCell="F5" sqref="F5"/>
    </sheetView>
  </sheetViews>
  <sheetFormatPr defaultColWidth="8.85546875" defaultRowHeight="15" x14ac:dyDescent="0.25"/>
  <cols>
    <col min="1" max="1" width="13.28515625" style="1" bestFit="1" customWidth="1"/>
    <col min="2" max="3" width="28.42578125" style="1" customWidth="1"/>
    <col min="4" max="4" width="24" style="1" customWidth="1"/>
    <col min="5" max="5" width="12.85546875" style="21" customWidth="1"/>
    <col min="6" max="6" width="13" style="18" customWidth="1"/>
    <col min="7" max="8" width="10.85546875" style="18" bestFit="1" customWidth="1"/>
    <col min="9" max="9" width="11" style="36" bestFit="1" customWidth="1"/>
    <col min="10" max="10" width="14.140625" style="15" customWidth="1"/>
  </cols>
  <sheetData>
    <row r="1" spans="1:12" ht="15.75" thickBot="1" x14ac:dyDescent="0.3"/>
    <row r="2" spans="1:12" ht="22.5" customHeight="1" x14ac:dyDescent="0.25">
      <c r="A2" s="11" t="s">
        <v>942</v>
      </c>
      <c r="B2" s="12" t="s">
        <v>0</v>
      </c>
      <c r="C2" s="30"/>
      <c r="D2" s="12"/>
      <c r="E2" s="19" t="s">
        <v>80</v>
      </c>
      <c r="F2" s="58" t="s">
        <v>2</v>
      </c>
      <c r="G2" s="58"/>
      <c r="H2" s="58" t="s">
        <v>3</v>
      </c>
      <c r="I2" s="58"/>
      <c r="J2" s="13" t="s">
        <v>17</v>
      </c>
    </row>
    <row r="3" spans="1:12" x14ac:dyDescent="0.25">
      <c r="A3" s="34"/>
      <c r="B3"/>
      <c r="C3" s="22"/>
      <c r="D3" s="22"/>
      <c r="E3" s="23"/>
      <c r="F3" s="16" t="s">
        <v>4</v>
      </c>
      <c r="G3" s="16" t="s">
        <v>5</v>
      </c>
      <c r="H3" s="16" t="s">
        <v>4</v>
      </c>
      <c r="I3" s="35" t="s">
        <v>5</v>
      </c>
      <c r="J3" s="8"/>
    </row>
    <row r="4" spans="1:12" x14ac:dyDescent="0.25">
      <c r="A4" s="6" t="s">
        <v>943</v>
      </c>
      <c r="B4" s="7" t="s">
        <v>920</v>
      </c>
      <c r="C4" s="2"/>
      <c r="D4" s="2"/>
      <c r="E4" s="33">
        <v>46069</v>
      </c>
      <c r="F4" s="27"/>
      <c r="G4" s="27"/>
      <c r="H4" s="27"/>
      <c r="I4" s="27"/>
      <c r="J4" s="8" t="s">
        <v>128</v>
      </c>
    </row>
    <row r="5" spans="1:12" x14ac:dyDescent="0.25">
      <c r="A5" s="6" t="s">
        <v>943</v>
      </c>
      <c r="B5" s="7" t="s">
        <v>920</v>
      </c>
      <c r="C5" s="47" t="s">
        <v>921</v>
      </c>
      <c r="D5" s="47" t="s">
        <v>922</v>
      </c>
      <c r="E5" s="33">
        <v>46070</v>
      </c>
      <c r="F5" s="27">
        <f t="shared" ref="F5:F9" si="0">C5-E5</f>
        <v>0.31921296296059154</v>
      </c>
      <c r="G5" s="27"/>
      <c r="H5" s="27"/>
      <c r="I5" s="27">
        <f t="shared" ref="I5:I16" si="1">D5-E5</f>
        <v>0.70861111111298669</v>
      </c>
      <c r="J5" s="8"/>
    </row>
    <row r="6" spans="1:12" x14ac:dyDescent="0.25">
      <c r="A6" s="6" t="s">
        <v>943</v>
      </c>
      <c r="B6" s="7" t="s">
        <v>920</v>
      </c>
      <c r="C6" s="47" t="s">
        <v>923</v>
      </c>
      <c r="D6" s="47" t="s">
        <v>924</v>
      </c>
      <c r="E6" s="33">
        <v>46071</v>
      </c>
      <c r="F6" s="27">
        <f t="shared" si="0"/>
        <v>0.32035879629984265</v>
      </c>
      <c r="G6" s="27"/>
      <c r="H6" s="27"/>
      <c r="I6" s="27">
        <f t="shared" si="1"/>
        <v>0.71076388889196096</v>
      </c>
      <c r="J6" s="8"/>
      <c r="K6" s="3" t="s">
        <v>6</v>
      </c>
      <c r="L6" s="4">
        <v>0</v>
      </c>
    </row>
    <row r="7" spans="1:12" x14ac:dyDescent="0.25">
      <c r="A7" s="6" t="s">
        <v>943</v>
      </c>
      <c r="B7" s="7" t="s">
        <v>920</v>
      </c>
      <c r="C7" s="47" t="s">
        <v>925</v>
      </c>
      <c r="D7" s="47" t="s">
        <v>926</v>
      </c>
      <c r="E7" s="33">
        <v>46072</v>
      </c>
      <c r="F7" s="27">
        <f t="shared" si="0"/>
        <v>0.31847222222131677</v>
      </c>
      <c r="G7" s="27"/>
      <c r="H7" s="27"/>
      <c r="I7" s="27">
        <f t="shared" si="1"/>
        <v>0.70872685185167938</v>
      </c>
      <c r="J7" s="8"/>
      <c r="K7" s="3" t="s">
        <v>7</v>
      </c>
      <c r="L7" s="4">
        <v>0</v>
      </c>
    </row>
    <row r="8" spans="1:12" x14ac:dyDescent="0.25">
      <c r="A8" s="6" t="s">
        <v>943</v>
      </c>
      <c r="B8" s="7" t="s">
        <v>920</v>
      </c>
      <c r="C8" s="47" t="s">
        <v>927</v>
      </c>
      <c r="D8" s="47" t="s">
        <v>928</v>
      </c>
      <c r="E8" s="33">
        <v>46073</v>
      </c>
      <c r="F8" s="27">
        <f t="shared" si="0"/>
        <v>0.31550925925694173</v>
      </c>
      <c r="G8" s="27"/>
      <c r="H8" s="27"/>
      <c r="I8" s="27">
        <f t="shared" si="1"/>
        <v>0.70874999999796273</v>
      </c>
      <c r="J8" s="8"/>
      <c r="K8" s="3" t="s">
        <v>8</v>
      </c>
      <c r="L8" s="4">
        <v>0</v>
      </c>
    </row>
    <row r="9" spans="1:12" x14ac:dyDescent="0.25">
      <c r="A9" s="6" t="s">
        <v>943</v>
      </c>
      <c r="B9" s="7" t="s">
        <v>920</v>
      </c>
      <c r="C9" s="47" t="s">
        <v>929</v>
      </c>
      <c r="D9" s="47" t="s">
        <v>930</v>
      </c>
      <c r="E9" s="33">
        <v>46074</v>
      </c>
      <c r="F9" s="27">
        <f t="shared" si="0"/>
        <v>0.32153935185488081</v>
      </c>
      <c r="G9" s="28"/>
      <c r="H9" s="28"/>
      <c r="I9" s="27">
        <f t="shared" si="1"/>
        <v>0.70928240740613546</v>
      </c>
      <c r="J9" s="8"/>
      <c r="K9" s="3" t="s">
        <v>9</v>
      </c>
      <c r="L9" s="4">
        <v>0</v>
      </c>
    </row>
    <row r="10" spans="1:12" x14ac:dyDescent="0.25">
      <c r="A10" s="6" t="s">
        <v>943</v>
      </c>
      <c r="B10" s="7" t="s">
        <v>920</v>
      </c>
      <c r="C10" s="2"/>
      <c r="D10" s="2"/>
      <c r="E10" s="33">
        <v>46075</v>
      </c>
      <c r="F10" s="27"/>
      <c r="G10" s="27"/>
      <c r="H10" s="27"/>
      <c r="I10" s="27"/>
      <c r="J10" s="8" t="s">
        <v>13</v>
      </c>
      <c r="K10" s="3" t="s">
        <v>10</v>
      </c>
      <c r="L10" s="4">
        <v>0</v>
      </c>
    </row>
    <row r="11" spans="1:12" x14ac:dyDescent="0.25">
      <c r="A11" s="6" t="s">
        <v>943</v>
      </c>
      <c r="B11" s="7" t="s">
        <v>920</v>
      </c>
      <c r="C11" s="47" t="s">
        <v>931</v>
      </c>
      <c r="D11" s="47" t="s">
        <v>932</v>
      </c>
      <c r="E11" s="33">
        <v>46076</v>
      </c>
      <c r="F11" s="27">
        <f t="shared" ref="F11:F16" si="2">C11-E11</f>
        <v>0.31836805555212777</v>
      </c>
      <c r="G11" s="27"/>
      <c r="H11" s="27"/>
      <c r="I11" s="27">
        <f t="shared" si="1"/>
        <v>0.70899305555212777</v>
      </c>
      <c r="J11" s="8"/>
    </row>
    <row r="12" spans="1:12" x14ac:dyDescent="0.25">
      <c r="A12" s="6" t="s">
        <v>943</v>
      </c>
      <c r="B12" s="7" t="s">
        <v>920</v>
      </c>
      <c r="C12" s="47" t="s">
        <v>933</v>
      </c>
      <c r="D12" s="47" t="s">
        <v>934</v>
      </c>
      <c r="E12" s="33">
        <v>46077</v>
      </c>
      <c r="F12" s="27">
        <f t="shared" si="2"/>
        <v>0.32145833333197515</v>
      </c>
      <c r="G12" s="27"/>
      <c r="H12" s="27"/>
      <c r="I12" s="27">
        <f t="shared" si="1"/>
        <v>0.70863425925927004</v>
      </c>
      <c r="J12" s="8"/>
    </row>
    <row r="13" spans="1:12" x14ac:dyDescent="0.25">
      <c r="A13" s="6" t="s">
        <v>943</v>
      </c>
      <c r="B13" s="7" t="s">
        <v>920</v>
      </c>
      <c r="C13" s="47" t="s">
        <v>935</v>
      </c>
      <c r="D13" s="47" t="s">
        <v>936</v>
      </c>
      <c r="E13" s="33">
        <v>46078</v>
      </c>
      <c r="F13" s="27">
        <f t="shared" si="2"/>
        <v>0.32032407407677965</v>
      </c>
      <c r="G13" s="27"/>
      <c r="H13" s="27"/>
      <c r="I13" s="27">
        <f t="shared" si="1"/>
        <v>0.708460648151231</v>
      </c>
      <c r="J13" s="8"/>
    </row>
    <row r="14" spans="1:12" x14ac:dyDescent="0.25">
      <c r="A14" s="6" t="s">
        <v>943</v>
      </c>
      <c r="B14" s="7" t="s">
        <v>920</v>
      </c>
      <c r="C14" s="47" t="s">
        <v>937</v>
      </c>
      <c r="D14" s="47" t="s">
        <v>938</v>
      </c>
      <c r="E14" s="33">
        <v>46079</v>
      </c>
      <c r="F14" s="27">
        <f t="shared" si="2"/>
        <v>0.31620370370364981</v>
      </c>
      <c r="G14" s="27"/>
      <c r="H14" s="27"/>
      <c r="I14" s="27">
        <f t="shared" si="1"/>
        <v>0.70879629629780538</v>
      </c>
      <c r="J14" s="8"/>
    </row>
    <row r="15" spans="1:12" x14ac:dyDescent="0.25">
      <c r="A15" s="6" t="s">
        <v>943</v>
      </c>
      <c r="B15" s="7" t="s">
        <v>920</v>
      </c>
      <c r="C15" s="47" t="s">
        <v>939</v>
      </c>
      <c r="D15" s="47" t="s">
        <v>940</v>
      </c>
      <c r="E15" s="33">
        <v>46080</v>
      </c>
      <c r="F15" s="27">
        <f t="shared" si="2"/>
        <v>0.31464120370219462</v>
      </c>
      <c r="G15" s="29"/>
      <c r="H15" s="29"/>
      <c r="I15" s="27">
        <f t="shared" si="1"/>
        <v>0.70893518518278142</v>
      </c>
      <c r="J15" s="8"/>
    </row>
    <row r="16" spans="1:12" x14ac:dyDescent="0.25">
      <c r="A16" s="6" t="s">
        <v>943</v>
      </c>
      <c r="B16" s="7" t="s">
        <v>920</v>
      </c>
      <c r="C16" s="50">
        <v>46081.318113425928</v>
      </c>
      <c r="D16" s="47" t="s">
        <v>941</v>
      </c>
      <c r="E16" s="33">
        <v>46081</v>
      </c>
      <c r="F16" s="27">
        <f t="shared" si="2"/>
        <v>0.31811342592845904</v>
      </c>
      <c r="G16" s="29"/>
      <c r="H16" s="29"/>
      <c r="I16" s="27">
        <f t="shared" si="1"/>
        <v>0.71216435185488081</v>
      </c>
      <c r="J16" s="8"/>
    </row>
    <row r="17" spans="1:10" x14ac:dyDescent="0.25">
      <c r="A17" s="6"/>
      <c r="B17" s="7"/>
      <c r="C17" s="28"/>
      <c r="D17" s="28"/>
      <c r="E17" s="33"/>
      <c r="F17" s="27"/>
      <c r="G17" s="29"/>
      <c r="H17" s="29"/>
      <c r="I17" s="27"/>
      <c r="J17" s="8"/>
    </row>
    <row r="18" spans="1:10" x14ac:dyDescent="0.25">
      <c r="A18" s="6"/>
      <c r="B18" s="7"/>
      <c r="C18" s="2"/>
      <c r="D18" s="2"/>
      <c r="E18" s="33"/>
      <c r="F18" s="27"/>
      <c r="G18" s="29"/>
      <c r="H18" s="29"/>
      <c r="I18" s="27"/>
      <c r="J18" s="8"/>
    </row>
    <row r="19" spans="1:10" ht="15.75" customHeight="1" x14ac:dyDescent="0.25">
      <c r="A19" s="6"/>
      <c r="B19" s="7"/>
      <c r="C19" s="28"/>
      <c r="D19" s="28"/>
      <c r="E19" s="33"/>
      <c r="F19" s="27"/>
      <c r="G19" s="29"/>
      <c r="H19" s="29"/>
      <c r="I19" s="27"/>
      <c r="J19" s="8"/>
    </row>
    <row r="20" spans="1:10" x14ac:dyDescent="0.25">
      <c r="C20" s="2"/>
      <c r="D20" s="2"/>
      <c r="E20" s="33"/>
      <c r="F20" s="27"/>
      <c r="I20" s="27"/>
      <c r="J20" s="8"/>
    </row>
    <row r="21" spans="1:10" ht="15.75" thickBot="1" x14ac:dyDescent="0.3">
      <c r="A21" s="9"/>
      <c r="B21" s="10"/>
      <c r="C21" s="37"/>
      <c r="D21" s="17"/>
      <c r="E21" s="37"/>
      <c r="F21" s="17"/>
      <c r="G21" s="17"/>
      <c r="H21" s="17"/>
      <c r="I21" s="17"/>
      <c r="J21" s="26"/>
    </row>
    <row r="22" spans="1:10" x14ac:dyDescent="0.25">
      <c r="A22" s="51"/>
      <c r="B22" s="52"/>
      <c r="C22" s="39"/>
      <c r="D22" s="39"/>
      <c r="E22" s="53"/>
      <c r="F22" s="38"/>
      <c r="G22" s="38"/>
      <c r="H22" s="38"/>
      <c r="I22" s="54"/>
      <c r="J22" s="55"/>
    </row>
    <row r="23" spans="1:10" x14ac:dyDescent="0.25">
      <c r="A23" s="5"/>
      <c r="B23" s="2"/>
      <c r="C23" s="2"/>
      <c r="D23" s="2"/>
      <c r="E23" s="20"/>
      <c r="J23" s="8"/>
    </row>
    <row r="24" spans="1:10" x14ac:dyDescent="0.25">
      <c r="A24" s="5"/>
      <c r="B24" s="2"/>
      <c r="C24" s="2"/>
      <c r="D24" s="2"/>
      <c r="E24" s="20"/>
      <c r="J24" s="8"/>
    </row>
    <row r="25" spans="1:10" ht="15.75" thickBot="1" x14ac:dyDescent="0.3">
      <c r="A25" s="9"/>
      <c r="B25" s="42"/>
      <c r="C25" s="42"/>
      <c r="D25" s="42"/>
      <c r="E25" s="56"/>
      <c r="F25" s="17"/>
      <c r="G25" s="17"/>
      <c r="H25" s="17"/>
      <c r="I25" s="57"/>
      <c r="J25" s="26"/>
    </row>
    <row r="26" spans="1:10" x14ac:dyDescent="0.25">
      <c r="C26" s="2"/>
      <c r="D26" s="2"/>
      <c r="E26" s="20"/>
    </row>
    <row r="27" spans="1:10" x14ac:dyDescent="0.25">
      <c r="C27" s="2"/>
      <c r="D27" s="2"/>
      <c r="E27" s="20"/>
    </row>
  </sheetData>
  <mergeCells count="2">
    <mergeCell ref="F2:G2"/>
    <mergeCell ref="H2:I2"/>
  </mergeCells>
  <conditionalFormatting sqref="C1:E1048576 K1:L1048576">
    <cfRule type="cellIs" dxfId="26" priority="21" operator="equal">
      <formula>"UNDERTIME"</formula>
    </cfRule>
  </conditionalFormatting>
  <conditionalFormatting sqref="F4:H19">
    <cfRule type="cellIs" dxfId="25" priority="2" operator="equal">
      <formula>"UNDERTIME"</formula>
    </cfRule>
  </conditionalFormatting>
  <conditionalFormatting sqref="F2:J3 F20:J1048576">
    <cfRule type="cellIs" dxfId="24" priority="16" operator="equal">
      <formula>"UNDERTIME"</formula>
    </cfRule>
  </conditionalFormatting>
  <conditionalFormatting sqref="J1:J1048576">
    <cfRule type="cellIs" dxfId="23" priority="6" operator="equal">
      <formula>"HOLIDAY"</formula>
    </cfRule>
    <cfRule type="cellIs" dxfId="22" priority="8" operator="equal">
      <formula>"RESTDAY"</formula>
    </cfRule>
    <cfRule type="cellIs" dxfId="21" priority="9" operator="equal">
      <formula>"HALF DAY"</formula>
    </cfRule>
    <cfRule type="cellIs" dxfId="20" priority="10" operator="equal">
      <formula>"ABSENT"</formula>
    </cfRule>
    <cfRule type="cellIs" dxfId="19" priority="12" operator="equal">
      <formula>"ABSENT"</formula>
    </cfRule>
  </conditionalFormatting>
  <conditionalFormatting sqref="J2:J3 J15:J1048576">
    <cfRule type="cellIs" dxfId="18" priority="17" operator="equal">
      <formula>"UNDERTIME"</formula>
    </cfRule>
  </conditionalFormatting>
  <conditionalFormatting sqref="J2:J15">
    <cfRule type="cellIs" dxfId="17" priority="7" operator="equal">
      <formula>"OB"</formula>
    </cfRule>
  </conditionalFormatting>
  <conditionalFormatting sqref="J4:J15">
    <cfRule type="cellIs" dxfId="16" priority="11" operator="equal">
      <formula>"UNDERTIME"</formula>
    </cfRule>
  </conditionalFormatting>
  <conditionalFormatting sqref="J4:J19">
    <cfRule type="cellIs" dxfId="15" priority="5" operator="equal">
      <formula>"UNDERTIME"</formula>
    </cfRule>
  </conditionalFormatting>
  <conditionalFormatting sqref="J6:J1048576">
    <cfRule type="cellIs" dxfId="14" priority="14" operator="equal">
      <formula>"OB"</formula>
    </cfRule>
  </conditionalFormatting>
  <conditionalFormatting sqref="J7">
    <cfRule type="cellIs" dxfId="13" priority="4" operator="equal">
      <formula>"OB"</formula>
    </cfRule>
  </conditionalFormatting>
  <conditionalFormatting sqref="J8">
    <cfRule type="cellIs" dxfId="12" priority="15" operator="equal">
      <formula>"OB"</formula>
    </cfRule>
  </conditionalFormatting>
  <conditionalFormatting sqref="J10">
    <cfRule type="cellIs" dxfId="11" priority="1" operator="equal">
      <formula>"OB"</formula>
    </cfRule>
  </conditionalFormatting>
  <conditionalFormatting sqref="J14">
    <cfRule type="cellIs" dxfId="10" priority="13" operator="equal">
      <formula>"OB"</formula>
    </cfRule>
  </conditionalFormatting>
  <conditionalFormatting sqref="J15">
    <cfRule type="cellIs" dxfId="9" priority="3" operator="equal">
      <formula>"OB"</formula>
    </cfRule>
    <cfRule type="cellIs" dxfId="8" priority="18" operator="equal">
      <formula>"OB"</formula>
    </cfRule>
  </conditionalFormatting>
  <conditionalFormatting sqref="J15:J1048576">
    <cfRule type="cellIs" dxfId="7" priority="19" operator="equal">
      <formula>"OB"</formula>
    </cfRule>
  </conditionalFormatting>
  <conditionalFormatting sqref="J18:J19">
    <cfRule type="cellIs" dxfId="6" priority="20" operator="equal">
      <formula>"OB"</formula>
    </cfRule>
  </conditionalFormatting>
  <conditionalFormatting sqref="K7:K9">
    <cfRule type="containsText" dxfId="5" priority="24" operator="containsText" text="SUNDAY">
      <formula>NOT(ISERROR(SEARCH("SUNDAY",K7)))</formula>
    </cfRule>
    <cfRule type="containsText" dxfId="4" priority="25" operator="containsText" text="HOLIDAY">
      <formula>NOT(ISERROR(SEARCH("HOLIDAY",K7)))</formula>
    </cfRule>
  </conditionalFormatting>
  <conditionalFormatting sqref="K10">
    <cfRule type="containsText" dxfId="3" priority="26" operator="containsText" text="SUNDAY">
      <formula>NOT(ISERROR(SEARCH("SUNDAY",K10)))</formula>
    </cfRule>
    <cfRule type="containsText" dxfId="2" priority="27" operator="containsText" text="HOLIDAY">
      <formula>NOT(ISERROR(SEARCH("HOLIDAY",K10)))</formula>
    </cfRule>
  </conditionalFormatting>
  <conditionalFormatting sqref="L6:L10">
    <cfRule type="containsText" dxfId="1" priority="22" operator="containsText" text="SUNDAY">
      <formula>NOT(ISERROR(SEARCH("SUNDAY",L6)))</formula>
    </cfRule>
    <cfRule type="containsText" dxfId="0" priority="23" operator="containsText" text="HOLIDAY">
      <formula>NOT(ISERROR(SEARCH("HOLIDAY",L6)))</formula>
    </cfRule>
  </conditionalFormatting>
  <pageMargins left="0.7" right="0.7" top="0.75" bottom="0.75" header="0.3" footer="0.3"/>
  <pageSetup scale="84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BERNALES</vt:lpstr>
      <vt:lpstr>CARDILLO</vt:lpstr>
      <vt:lpstr>VELASQUEZ</vt:lpstr>
      <vt:lpstr>ABISTADO</vt:lpstr>
      <vt:lpstr>ABLING</vt:lpstr>
      <vt:lpstr>AGON</vt:lpstr>
      <vt:lpstr>AGUHO</vt:lpstr>
      <vt:lpstr>BALMES</vt:lpstr>
      <vt:lpstr>BARQUILLA</vt:lpstr>
      <vt:lpstr>BAUTISTA A.</vt:lpstr>
      <vt:lpstr>BAUTISTA</vt:lpstr>
      <vt:lpstr>BELEN</vt:lpstr>
      <vt:lpstr>BERON</vt:lpstr>
      <vt:lpstr>BLANCO</vt:lpstr>
      <vt:lpstr>CABANDOG</vt:lpstr>
      <vt:lpstr>CALANSANAN</vt:lpstr>
      <vt:lpstr>CALINGASAN</vt:lpstr>
      <vt:lpstr>CASTILLO</vt:lpstr>
      <vt:lpstr>CHAVEZ IRESE</vt:lpstr>
      <vt:lpstr>CHAVEZ JOVIN</vt:lpstr>
      <vt:lpstr>DALAN</vt:lpstr>
      <vt:lpstr>DAVID</vt:lpstr>
      <vt:lpstr>DECILLO</vt:lpstr>
      <vt:lpstr>DE ROXAS</vt:lpstr>
      <vt:lpstr>DELAPUS</vt:lpstr>
      <vt:lpstr>DELICA</vt:lpstr>
      <vt:lpstr>ENTRADA</vt:lpstr>
      <vt:lpstr>ESCAREZ</vt:lpstr>
      <vt:lpstr>GARDOCE</vt:lpstr>
      <vt:lpstr>GASCO</vt:lpstr>
      <vt:lpstr>GIAGONNE</vt:lpstr>
      <vt:lpstr>GONZALES</vt:lpstr>
      <vt:lpstr>HORCA</vt:lpstr>
      <vt:lpstr> MALIBAGO</vt:lpstr>
      <vt:lpstr>MEDRANO</vt:lpstr>
      <vt:lpstr>MENDOZA</vt:lpstr>
      <vt:lpstr>MERCADO</vt:lpstr>
      <vt:lpstr>MINA</vt:lpstr>
      <vt:lpstr>ORAYA</vt:lpstr>
      <vt:lpstr>OZEATA</vt:lpstr>
      <vt:lpstr>PARABOLES</vt:lpstr>
      <vt:lpstr>RAMIREZ</vt:lpstr>
      <vt:lpstr>RAMOS</vt:lpstr>
      <vt:lpstr>SACDALAN</vt:lpstr>
      <vt:lpstr>SANCHEZ</vt:lpstr>
      <vt:lpstr>TORILLAS</vt:lpstr>
      <vt:lpstr>VICENTE</vt:lpstr>
      <vt:lpstr>VILLEZA</vt:lpstr>
      <vt:lpstr>AURE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PC</dc:creator>
  <cp:lastModifiedBy>Vanessa Kyla Barquilla</cp:lastModifiedBy>
  <cp:lastPrinted>2024-09-18T01:16:40Z</cp:lastPrinted>
  <dcterms:created xsi:type="dcterms:W3CDTF">2024-09-18T00:44:06Z</dcterms:created>
  <dcterms:modified xsi:type="dcterms:W3CDTF">2026-03-27T03:00:55Z</dcterms:modified>
</cp:coreProperties>
</file>